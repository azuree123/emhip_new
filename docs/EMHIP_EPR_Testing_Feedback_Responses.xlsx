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Feedback" sheetId="1" state="visible" r:id="rId1"/>
    <sheet xmlns:r="http://schemas.openxmlformats.org/officeDocument/2006/relationships" name="Summary" sheetId="2" state="visible" r:id="rId2"/>
  </sheets>
  <definedNames/>
  <calcPr calcId="191029" fullCalcOnLoad="1" iterateDelta="0.0001"/>
</workbook>
</file>

<file path=xl/styles.xml><?xml version="1.0" encoding="utf-8"?>
<styleSheet xmlns="http://schemas.openxmlformats.org/spreadsheetml/2006/main">
  <numFmts count="0"/>
  <fonts count="12">
    <font>
      <name val="Calibri"/>
      <charset val="1"/>
      <family val="2"/>
      <color theme="1"/>
      <sz val="11"/>
    </font>
    <font>
      <name val="Arial"/>
      <charset val="1"/>
      <b val="1"/>
      <color rgb="FFFFFFFF"/>
      <sz val="12"/>
    </font>
    <font>
      <name val="Arial"/>
      <charset val="1"/>
      <b val="1"/>
      <color rgb="FFFFFFFF"/>
      <sz val="10"/>
    </font>
    <font>
      <name val="Arial"/>
      <charset val="1"/>
      <color rgb="FF2C2C2A"/>
      <sz val="10"/>
    </font>
    <font>
      <name val="Arial"/>
      <charset val="1"/>
      <b val="1"/>
      <color rgb="FFA32D2D"/>
      <sz val="10"/>
    </font>
    <font>
      <name val="Arial"/>
      <charset val="1"/>
      <b val="1"/>
      <color rgb="FF854F0B"/>
      <sz val="10"/>
    </font>
    <font>
      <name val="Arial"/>
      <charset val="1"/>
      <b val="1"/>
      <color rgb="FF185FA5"/>
      <sz val="10"/>
    </font>
    <font>
      <name val="Arial"/>
      <charset val="1"/>
      <b val="1"/>
      <color rgb="FFFFFFFF"/>
      <sz val="11"/>
    </font>
    <font>
      <name val="Arial"/>
      <charset val="1"/>
      <b val="1"/>
      <color rgb="FF2C2C2A"/>
      <sz val="10"/>
    </font>
    <font>
      <name val="Arial"/>
      <family val="2"/>
      <color rgb="FF2C2C2A"/>
      <sz val="10"/>
    </font>
    <font>
      <name val="Arial"/>
      <family val="2"/>
      <color theme="1"/>
      <sz val="10"/>
    </font>
    <font>
      <name val="Arial"/>
      <family val="2"/>
      <b val="1"/>
      <color rgb="FFFFFFFF"/>
      <sz val="12"/>
    </font>
  </fonts>
  <fills count="9">
    <fill>
      <patternFill/>
    </fill>
    <fill>
      <patternFill patternType="gray125"/>
    </fill>
    <fill>
      <patternFill patternType="solid">
        <fgColor rgb="FFB01C2E"/>
        <bgColor rgb="FFA32D2D"/>
      </patternFill>
    </fill>
    <fill>
      <patternFill patternType="solid">
        <fgColor rgb="FF2C2C2A"/>
        <bgColor rgb="FF333300"/>
      </patternFill>
    </fill>
    <fill>
      <patternFill patternType="solid">
        <fgColor rgb="FFFFFFFF"/>
        <bgColor rgb="FFF9F8F6"/>
      </patternFill>
    </fill>
    <fill>
      <patternFill patternType="solid">
        <fgColor rgb="FFFCEBEB"/>
        <bgColor rgb="FFFAEEDA"/>
      </patternFill>
    </fill>
    <fill>
      <patternFill patternType="solid">
        <fgColor rgb="FFF9F8F6"/>
        <bgColor rgb="FFFFFFFF"/>
      </patternFill>
    </fill>
    <fill>
      <patternFill patternType="solid">
        <fgColor rgb="FFFAEEDA"/>
        <bgColor rgb="FFFCEBEB"/>
      </patternFill>
    </fill>
    <fill>
      <patternFill patternType="solid">
        <fgColor rgb="FFEDF4FC"/>
        <bgColor rgb="FFF9F8F6"/>
      </patternFill>
    </fill>
  </fills>
  <borders count="7">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
      <left/>
      <right/>
      <top style="thin">
        <color rgb="FFD3D1C7"/>
      </top>
      <bottom/>
      <diagonal/>
    </border>
    <border>
      <left/>
      <right style="thin">
        <color rgb="FFD3D1C7"/>
      </right>
      <top style="thin">
        <color rgb="FFD3D1C7"/>
      </top>
      <bottom/>
      <diagonal/>
    </border>
    <border>
      <left/>
      <right style="thin">
        <color rgb="FFD3D1C7"/>
      </right>
      <top style="thin">
        <color rgb="FFD3D1C7"/>
      </top>
      <bottom style="thin">
        <color rgb="FFD3D1C7"/>
      </bottom>
      <diagonal/>
    </border>
  </borders>
  <cellStyleXfs count="1">
    <xf numFmtId="0" fontId="0" fillId="0" borderId="0"/>
  </cellStyleXfs>
  <cellXfs count="25">
    <xf numFmtId="0" fontId="0" fillId="0" borderId="0" pivotButton="0" quotePrefix="0" xfId="0"/>
    <xf numFmtId="0" fontId="7" fillId="2"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3" borderId="2"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2" fillId="3"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9" fillId="6"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2" borderId="0" applyAlignment="1" pivotButton="0" quotePrefix="0" xfId="0">
      <alignment horizontal="center" vertical="center" wrapText="1"/>
    </xf>
    <xf numFmtId="0" fontId="0" fillId="0" borderId="3"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08080"/>
      <rgbColor rgb="FFD3D1C7"/>
      <rgbColor rgb="FF808080"/>
      <rgbColor rgb="FF9999FF"/>
      <rgbColor rgb="FFB01C2E"/>
      <rgbColor rgb="FFFAEEDA"/>
      <rgbColor rgb="FFEDF4FC"/>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F9F8F6"/>
      <rgbColor rgb="FFCCFFCC"/>
      <rgbColor rgb="FFFCEBEB"/>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32D2D"/>
      <rgbColor rgb="FF993366"/>
      <rgbColor rgb="FF333399"/>
      <rgbColor rgb="FF2C2C2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0" tabSelected="1" zoomScaleNormal="100" workbookViewId="0">
      <pane ySplit="2" topLeftCell="A3" activePane="bottomLeft" state="frozen"/>
      <selection pane="bottomLeft" activeCell="A1" sqref="A1:E1"/>
    </sheetView>
  </sheetViews>
  <sheetFormatPr baseColWidth="8" defaultColWidth="8.6328125" defaultRowHeight="14.5"/>
  <cols>
    <col width="5" customWidth="1" min="1" max="1"/>
    <col width="22" customWidth="1" min="2" max="2"/>
    <col width="70" customWidth="1" min="3" max="3"/>
    <col width="13" customWidth="1" min="4" max="4"/>
    <col width="16" customWidth="1" min="5" max="5"/>
    <col width="60" customWidth="1" min="6" max="6"/>
    <col width="40" customWidth="1" min="7" max="7"/>
  </cols>
  <sheetData>
    <row r="1" ht="27.75" customHeight="1">
      <c r="A1" s="22" t="inlineStr">
        <is>
          <t>EMHIP EPR — Build Feedback · Dashboard Review ·</t>
        </is>
      </c>
    </row>
    <row r="2" ht="24" customHeight="1">
      <c r="A2" s="6" t="inlineStr">
        <is>
          <t>#</t>
        </is>
      </c>
      <c r="B2" s="6" t="inlineStr">
        <is>
          <t>Section</t>
        </is>
      </c>
      <c r="C2" s="6" t="inlineStr">
        <is>
          <t>Issue</t>
        </is>
      </c>
      <c r="D2" s="6" t="inlineStr">
        <is>
          <t>Priority</t>
        </is>
      </c>
      <c r="E2" s="6" t="inlineStr">
        <is>
          <t>Status</t>
        </is>
      </c>
      <c r="F2" s="6" t="inlineStr">
        <is>
          <t>What we changed</t>
        </is>
      </c>
      <c r="G2" s="6" t="inlineStr">
        <is>
          <t>How to retest</t>
        </is>
      </c>
    </row>
    <row r="3" ht="21.75" customHeight="1">
      <c r="A3" s="4" t="inlineStr">
        <is>
          <t>MUST FIX FIRST</t>
        </is>
      </c>
      <c r="B3" s="23" t="n"/>
      <c r="C3" s="23" t="n"/>
      <c r="D3" s="23" t="n"/>
      <c r="E3" s="23" t="n"/>
      <c r="F3" s="23" t="n"/>
      <c r="G3" s="23" t="n"/>
    </row>
    <row r="4" ht="48" customHeight="1">
      <c r="A4" s="7" t="inlineStr">
        <is>
          <t>1</t>
        </is>
      </c>
      <c r="B4" s="8" t="inlineStr">
        <is>
          <t>Guest list</t>
        </is>
      </c>
      <c r="C4" s="8" t="inlineStr">
        <is>
          <t xml:space="preserve">Cannot open individual guest profiles from the guest list — clicking a guest's name or row must open their full profile. Currently unable to access this. </t>
        </is>
      </c>
      <c r="D4" s="9" t="inlineStr">
        <is>
          <t>Must fix</t>
        </is>
      </c>
      <c r="E4" s="7" t="inlineStr">
        <is>
          <t>Resolved</t>
        </is>
      </c>
      <c r="F4" s="8" t="inlineStr">
        <is>
          <t>Guest names are now links. Clicking the name, anywhere on the row, or Open all open the full record; Ctrl/Cmd-click opens a new tab. A page left open while the system was updated now reloads into the record instead of doing nothing.</t>
        </is>
      </c>
      <c r="G4" s="8" t="inlineStr">
        <is>
          <t>Guest list: click a guest's name, then a row, then Open.</t>
        </is>
      </c>
    </row>
    <row r="5" ht="48" customHeight="1">
      <c r="A5" s="10" t="inlineStr">
        <is>
          <t>2</t>
        </is>
      </c>
      <c r="B5" s="11" t="inlineStr">
        <is>
          <t>Urgent cases</t>
        </is>
      </c>
      <c r="C5" s="11" t="inlineStr">
        <is>
          <t>Cannot open urgent cases — clicking on an urgent case does nothing.</t>
        </is>
      </c>
      <c r="D5" s="9" t="inlineStr">
        <is>
          <t>Must fix</t>
        </is>
      </c>
      <c r="E5" s="10" t="inlineStr">
        <is>
          <t>Resolved</t>
        </is>
      </c>
      <c r="F5" s="11" t="inlineStr">
        <is>
          <t>Clicking an active urgent case opens Urgent Case Details, which now also has 'Open full episode record'. Resolved cases could not be clicked before; they now open their episode record.</t>
        </is>
      </c>
      <c r="G5" s="11" t="inlineStr">
        <is>
          <t>Urgent Cases: click an active case, then a resolved case.</t>
        </is>
      </c>
    </row>
    <row r="6" ht="116" customHeight="1">
      <c r="A6" s="7" t="inlineStr">
        <is>
          <t>3</t>
        </is>
      </c>
      <c r="B6" s="20" t="inlineStr">
        <is>
          <t xml:space="preserve"> Dashboards</t>
        </is>
      </c>
      <c r="C6" s="20" t="inlineStr">
        <is>
          <t xml:space="preserve"> data tiles and lists on the dashboard are not clickable. Any tile that shows a count of guests should link through to the list of guests behind that number — for example clicking the Urgent Cases count should open the urgent cases list, clicking SMI should show guests with SMI recorded, clicking a CMHW's row in the caseload table should show their guest list, and clicking a guest row in the CPN involvement table should open that guest's record. Data quality issue rows should also link to the list of affected guests. This is standard practice in clinical dashboards and is needed for the Hub Manager to act on what they see.</t>
        </is>
      </c>
      <c r="D6" s="9" t="inlineStr">
        <is>
          <t>Must fix</t>
        </is>
      </c>
      <c r="E6" s="7" t="inlineStr">
        <is>
          <t>Resolved</t>
        </is>
      </c>
      <c r="F6" s="20" t="inlineStr">
        <is>
          <t>Every count on the dashboard now opens the guests behind it: Active / New / Inactive tiles, Urgent Cases tile (opens the urgent cases list), pathway rows, SMI and other clinical complexity tiles, demographics bars, CPN tiles and CPN guest rows, each CMHW's caseload row (and their Active / Urgent numbers), data quality rows and staff activity lines. The guest list shows a banner naming what you clicked. CMHW dashboard tiles also work.</t>
        </is>
      </c>
      <c r="G6" s="20" t="inlineStr">
        <is>
          <t>Dashboard as Hub Manager and as CMHW: click each tile, row and bar; the list count should match the tile.</t>
        </is>
      </c>
    </row>
    <row r="7" ht="21.75" customHeight="1">
      <c r="A7" s="10" t="inlineStr">
        <is>
          <t>4</t>
        </is>
      </c>
      <c r="B7" s="23" t="n"/>
      <c r="C7" s="23" t="n"/>
      <c r="D7" s="23" t="n"/>
      <c r="E7" s="23" t="n"/>
      <c r="F7" s="23" t="n"/>
      <c r="G7" s="24" t="n"/>
    </row>
    <row r="8" ht="48" customHeight="1">
      <c r="A8" s="17" t="inlineStr">
        <is>
          <t>FIXES</t>
        </is>
      </c>
      <c r="B8" s="23" t="n"/>
      <c r="C8" s="23" t="n"/>
      <c r="D8" s="23" t="n"/>
      <c r="E8" s="23" t="n"/>
      <c r="F8" s="23" t="n"/>
      <c r="G8" s="23" t="n"/>
    </row>
    <row r="9" ht="48" customHeight="1">
      <c r="A9" s="7" t="inlineStr">
        <is>
          <t>5</t>
        </is>
      </c>
      <c r="B9" s="8" t="inlineStr">
        <is>
          <t>Documents</t>
        </is>
      </c>
      <c r="C9" s="8" t="inlineStr">
        <is>
          <t>Remove Documents as a standalone menu item. documents must only be accessible from within an individual guest's profile where the guest link is automatic.</t>
        </is>
      </c>
      <c r="D9" s="13" t="inlineStr">
        <is>
          <t>Fix</t>
        </is>
      </c>
      <c r="E9" s="7" t="inlineStr">
        <is>
          <t>Resolved</t>
        </is>
      </c>
      <c r="F9" s="8" t="inlineStr">
        <is>
          <t>Documents is removed from the menu. Documents are managed from the guest's Documents tab, where uploads are linked to that guest automatically.</t>
        </is>
      </c>
      <c r="G9" s="8" t="inlineStr">
        <is>
          <t>Open a guest &gt; Documents tab &gt; Upload document (no guest to choose).</t>
        </is>
      </c>
    </row>
    <row r="10" ht="48" customHeight="1">
      <c r="A10" s="10" t="inlineStr">
        <is>
          <t>6</t>
        </is>
      </c>
      <c r="B10" s="11" t="inlineStr">
        <is>
          <t>Contact History</t>
        </is>
      </c>
      <c r="C10" s="11" t="inlineStr">
        <is>
          <t>Remove 'CPN sessions' from the AFA &amp; Hospitality tile.  these are unrelated. CPN activity should have its own dedicated section.</t>
        </is>
      </c>
      <c r="D10" s="13" t="inlineStr">
        <is>
          <t>Fix</t>
        </is>
      </c>
      <c r="E10" s="10" t="inlineStr">
        <is>
          <t>Resolved</t>
        </is>
      </c>
      <c r="F10" s="11" t="inlineStr">
        <is>
          <t>CPN sessions are removed from the AFA &amp; Hospitality tile, which now shows AFA and hospitality only. A new CPN activity section shows CPN contacts, sessions, initial assessments and guests seen by CPN, with a 'Show CPN contacts only' filter.</t>
        </is>
      </c>
      <c r="G10" s="11" t="inlineStr">
        <is>
          <t>Contact History: check the AFA &amp; Hospitality tile and the CPN activity section.</t>
        </is>
      </c>
    </row>
    <row r="11" ht="21.75" customHeight="1">
      <c r="A11" s="7" t="inlineStr">
        <is>
          <t>7</t>
        </is>
      </c>
      <c r="B11" s="23" t="n"/>
      <c r="C11" s="23" t="n"/>
      <c r="D11" s="23" t="n"/>
      <c r="E11" s="23" t="n"/>
      <c r="F11" s="23" t="n"/>
      <c r="G11" s="24" t="n"/>
    </row>
    <row r="12" ht="48" customHeight="1">
      <c r="A12" s="10" t="inlineStr">
        <is>
          <t>8</t>
        </is>
      </c>
      <c r="B12" s="11" t="inlineStr">
        <is>
          <t>Reports</t>
        </is>
      </c>
      <c r="C12" s="11" t="inlineStr">
        <is>
          <t>Add the ability to cross-filter demographics with DIALOG scores — for example, view DIALOG score changes for Black African guests specifically. This is a critical reporting need for evidencing EMHIP's impact on ethnic minority communities.</t>
        </is>
      </c>
      <c r="D12" s="13" t="inlineStr">
        <is>
          <t>Fix</t>
        </is>
      </c>
      <c r="E12" s="10" t="inlineStr">
        <is>
          <t>Resolved</t>
        </is>
      </c>
      <c r="F12" s="11" t="inlineStr">
        <is>
          <t>Reports &gt; DIALOG Outcomes has a Demographics filter (ethnicity, age group, gender, country of origin). Every DIALOG figure recalculates for the chosen group, e.g. 'Showing: Black African · 23 guests', and the group carries into the Excel export.</t>
        </is>
      </c>
      <c r="G12" s="11" t="inlineStr">
        <is>
          <t>Reports &gt; DIALOG Outcomes &gt; Demographics &gt; choose Black African &gt; Apply.</t>
        </is>
      </c>
    </row>
    <row r="13" ht="48" customHeight="1">
      <c r="A13" s="12" t="inlineStr">
        <is>
          <t xml:space="preserve"> </t>
        </is>
      </c>
    </row>
    <row r="14" ht="48" customHeight="1">
      <c r="A14" s="7" t="inlineStr">
        <is>
          <t>9</t>
        </is>
      </c>
      <c r="B14" s="8" t="inlineStr">
        <is>
          <t>Reports</t>
        </is>
      </c>
      <c r="C14" s="21" t="inlineStr">
        <is>
          <t>Add demographics and referral sources to the Excel export — these are required for every report and are currently missing from the export.</t>
        </is>
      </c>
      <c r="D14" s="13" t="inlineStr">
        <is>
          <t>Fix</t>
        </is>
      </c>
      <c r="E14" s="7" t="inlineStr">
        <is>
          <t>Resolved</t>
        </is>
      </c>
      <c r="F14" s="21" t="inlineStr">
        <is>
          <t>The Excel export adds Demographics and Referral sources sheets (counts and % for all guests and for the period). The CSV export adds ethnicity, age group, gender, country of origin, referral source and referral type columns.</t>
        </is>
      </c>
      <c r="G14" s="21" t="inlineStr">
        <is>
          <t>Reports &gt; Export to Excel and Export CSV; open the files.</t>
        </is>
      </c>
    </row>
    <row r="15" ht="48" customHeight="1">
      <c r="A15" s="10" t="inlineStr">
        <is>
          <t>10</t>
        </is>
      </c>
      <c r="B15" s="11" t="inlineStr">
        <is>
          <t>Reports</t>
        </is>
      </c>
      <c r="C15" s="11" t="inlineStr">
        <is>
          <t>Make it clear the reports tab bar is scrollable — tabs are currently cut off at both ends with no visual indicator that more sections exist.</t>
        </is>
      </c>
      <c r="D15" s="13" t="inlineStr">
        <is>
          <t>Fix</t>
        </is>
      </c>
      <c r="E15" s="10" t="inlineStr">
        <is>
          <t>Resolved</t>
        </is>
      </c>
      <c r="F15" s="11" t="inlineStr">
        <is>
          <t>The reports tab bar shows arrow buttons and a faded edge on whichever side has more tabs; the selected tab scrolls into view.</t>
        </is>
      </c>
      <c r="G15" s="11" t="inlineStr">
        <is>
          <t>Reports in a window 1280px wide or narrower.</t>
        </is>
      </c>
    </row>
    <row r="16" ht="48" customHeight="1">
      <c r="A16" s="7" t="inlineStr">
        <is>
          <t>11</t>
        </is>
      </c>
      <c r="B16" s="8" t="inlineStr">
        <is>
          <t>Whole system</t>
        </is>
      </c>
      <c r="C16" s="8" t="inlineStr">
        <is>
          <t>Change 'On hold' to 'Inactive' throughout — in status badges, dashboard tiles, reports, and anywhere else it appears.</t>
        </is>
      </c>
      <c r="D16" s="14" t="inlineStr">
        <is>
          <t>Terminology</t>
        </is>
      </c>
      <c r="E16" s="7" t="inlineStr">
        <is>
          <t>Resolved</t>
        </is>
      </c>
      <c r="F16" s="8" t="inlineStr">
        <is>
          <t>'On hold' now reads 'Inactive' everywhere: status badges, filters, dashboard tiles, reports, exports and data quality.</t>
        </is>
      </c>
      <c r="G16" s="8" t="inlineStr">
        <is>
          <t>Any status badge, the Status filter, the dashboard and Reports.</t>
        </is>
      </c>
    </row>
    <row r="17" ht="48" customHeight="1">
      <c r="A17" s="10" t="inlineStr">
        <is>
          <t>12</t>
        </is>
      </c>
      <c r="B17" s="11" t="inlineStr">
        <is>
          <t>Whole system</t>
        </is>
      </c>
      <c r="C17" s="19" t="inlineStr">
        <is>
          <t>Change 'Follow-up' to 'Contact' throughout — Contact History, Add Contact, Contact activity, Total contacts recorded.</t>
        </is>
      </c>
      <c r="D17" s="14" t="inlineStr">
        <is>
          <t>Terminology</t>
        </is>
      </c>
      <c r="E17" s="10" t="inlineStr">
        <is>
          <t>Resolved</t>
        </is>
      </c>
      <c r="F17" s="19" t="inlineStr">
        <is>
          <t>'Follow-up' now reads 'Contact' throughout: dashboards, Urgent Cases, Add Contact, Contact activity, Total contacts recorded, the Scheduled contacts screen, settings and emails. DIALOG 'follow-up assessments' are now 'reassessments'.</t>
        </is>
      </c>
      <c r="G17" s="19" t="inlineStr">
        <is>
          <t>Throughout the system.</t>
        </is>
      </c>
    </row>
    <row r="18" ht="25" customHeight="1">
      <c r="A18" s="7" t="inlineStr">
        <is>
          <t>13</t>
        </is>
      </c>
      <c r="B18" s="8" t="inlineStr">
        <is>
          <t>Navigation</t>
        </is>
      </c>
      <c r="C18" s="20" t="inlineStr">
        <is>
          <t>Fix typo in left navigation — 'CASE MANGEMENT' should be 'CASE MANAGEMENT'. Appears on every screen.</t>
        </is>
      </c>
      <c r="D18" s="14" t="inlineStr">
        <is>
          <t>Terminology</t>
        </is>
      </c>
      <c r="E18" s="7" t="inlineStr">
        <is>
          <t>Resolved</t>
        </is>
      </c>
      <c r="F18" s="20" t="inlineStr">
        <is>
          <t>The left menu now reads CASE MANAGEMENT.</t>
        </is>
      </c>
      <c r="G18" s="20" t="inlineStr">
        <is>
          <t>Left menu on any screen.</t>
        </is>
      </c>
    </row>
    <row r="19" ht="37.5" customHeight="1">
      <c r="A19" s="10" t="inlineStr">
        <is>
          <t>14</t>
        </is>
      </c>
      <c r="B19" s="11" t="inlineStr">
        <is>
          <t>Staff activity log</t>
        </is>
      </c>
      <c r="C19" s="19" t="inlineStr">
        <is>
          <t>Replace technical labels in the staff activity log with plain English — 'Read UrgentEpisode' should be 'Viewed urgent case', 'Read Guest' should be 'Opened guest record'. Guest names should also be visible.</t>
        </is>
      </c>
      <c r="D19" s="14" t="inlineStr">
        <is>
          <t>Terminology</t>
        </is>
      </c>
      <c r="E19" s="10" t="inlineStr">
        <is>
          <t>Resolved</t>
        </is>
      </c>
      <c r="F19" s="19" t="inlineStr">
        <is>
          <t>Staff activity is in plain English ('Opened guest record', 'Viewed urgent case') with the guest's name and G-number; the name opens the record and repeated lines are merged. The guest Access Log uses the same wording.</t>
        </is>
      </c>
      <c r="G19" s="19" t="inlineStr">
        <is>
          <t>Hub Manager dashboard &gt; Staff activity; a guest's Access Log tab.</t>
        </is>
      </c>
    </row>
    <row r="20" ht="25" customHeight="1">
      <c r="A20" s="7" t="inlineStr">
        <is>
          <t>15</t>
        </is>
      </c>
      <c r="B20" s="8" t="inlineStr">
        <is>
          <t>Whole system</t>
        </is>
      </c>
      <c r="C20" s="8" t="inlineStr">
        <is>
          <t>Show full CMHW names throughout — names are being cut off (e.g. 'Gudrun Van...', 'Kevin Cruicksha...'). Widen columns or show full name on hover.</t>
        </is>
      </c>
      <c r="D20" s="14" t="inlineStr">
        <is>
          <t>Terminology</t>
        </is>
      </c>
      <c r="E20" s="7" t="inlineStr">
        <is>
          <t>Resolved</t>
        </is>
      </c>
      <c r="F20" s="8" t="inlineStr">
        <is>
          <t>Full CMHW names are shown, wrapping onto a second line, in the guest list, dashboard caseload and CPN tables and the tile preview panels; the CMHW filter shows the full name on hover.</t>
        </is>
      </c>
      <c r="G20" s="8" t="inlineStr">
        <is>
          <t>Guest list and dashboard tables with a long CMHW name.</t>
        </is>
      </c>
    </row>
  </sheetData>
  <mergeCells count="5">
    <mergeCell ref="A1:G1"/>
    <mergeCell ref="A8:G8"/>
    <mergeCell ref="A3:G3"/>
    <mergeCell ref="A7:G7"/>
    <mergeCell ref="A11:G11"/>
  </mergeCells>
  <dataValidations count="2">
    <dataValidation sqref="D3:D7 D9:D100" showDropDown="0" showInputMessage="0" showErrorMessage="0" allowBlank="1" type="list">
      <formula1>"Must fix,Fix,Terminology"</formula1>
      <formula2>0</formula2>
    </dataValidation>
    <dataValidation sqref="E3:E7 E9:E100" showDropDown="0" showInputMessage="0" showErrorMessage="0" allowBlank="1" type="list">
      <formula1>"Open,In progress,Resolved"</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9"/>
  <sheetViews>
    <sheetView showGridLines="0" zoomScaleNormal="100" workbookViewId="0">
      <selection activeCell="A1" sqref="A1"/>
    </sheetView>
  </sheetViews>
  <sheetFormatPr baseColWidth="8" defaultColWidth="8.6328125" defaultRowHeight="14.5"/>
  <cols>
    <col width="20" customWidth="1" min="1" max="1"/>
    <col width="12" customWidth="1" min="2" max="2"/>
  </cols>
  <sheetData>
    <row r="1" ht="25.5" customHeight="1">
      <c r="A1" s="1" t="inlineStr">
        <is>
          <t>Summary</t>
        </is>
      </c>
    </row>
    <row r="2" ht="21.75" customHeight="1">
      <c r="A2" s="11" t="inlineStr">
        <is>
          <t>Total items</t>
        </is>
      </c>
      <c r="B2" s="15">
        <f>COUNTA(Feedback!C:C)-COUNTA(Feedback!C1:C3)-3</f>
        <v/>
      </c>
    </row>
    <row r="3" ht="21.75" customHeight="1">
      <c r="A3" s="8" t="inlineStr">
        <is>
          <t>Must fix</t>
        </is>
      </c>
      <c r="B3" s="16">
        <f>COUNTIF(Feedback!D:D,"Must fix")</f>
        <v/>
      </c>
    </row>
    <row r="4" ht="21.75" customHeight="1">
      <c r="A4" s="11" t="inlineStr">
        <is>
          <t>Fix</t>
        </is>
      </c>
      <c r="B4" s="15">
        <f>COUNTIF(Feedback!D:D,"Fix")</f>
        <v/>
      </c>
    </row>
    <row r="5" ht="21.75" customHeight="1">
      <c r="A5" s="8" t="inlineStr">
        <is>
          <t>Terminology</t>
        </is>
      </c>
      <c r="B5" s="16">
        <f>COUNTIF(Feedback!D:D,"Terminology")</f>
        <v/>
      </c>
    </row>
    <row r="6" ht="21.75" customHeight="1"/>
    <row r="7" ht="21.75" customHeight="1">
      <c r="A7" s="8" t="inlineStr">
        <is>
          <t>Open</t>
        </is>
      </c>
      <c r="B7" s="16">
        <f>COUNTIF(Feedback!E:E,"Open")</f>
        <v/>
      </c>
    </row>
    <row r="8" ht="21.75" customHeight="1">
      <c r="A8" s="11" t="inlineStr">
        <is>
          <t>In progress</t>
        </is>
      </c>
      <c r="B8" s="15">
        <f>COUNTIF(Feedback!E:E,"In progress")</f>
        <v/>
      </c>
    </row>
    <row r="9" ht="21.75" customHeight="1">
      <c r="A9" s="8" t="inlineStr">
        <is>
          <t>Resolved</t>
        </is>
      </c>
      <c r="B9" s="16">
        <f>COUNTIF(Feedback!E:E,"Resolved")</f>
        <v/>
      </c>
    </row>
  </sheetData>
  <mergeCells count="1">
    <mergeCell ref="A1:B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2026-09-29T12:29:21Z</dcterms:created>
  <dcterms:modified xmlns:dcterms="http://purl.org/dc/terms/" xmlns:xsi="http://www.w3.org/2001/XMLSchema-instance" xsi:type="dcterms:W3CDTF">2026-09-30T09:36:55Z</dcterms:modified>
  <cp:lastModifiedBy>Ruvimbo Chiswo</cp:lastModifiedBy>
  <cp:revision>0</cp:revision>
</cp:coreProperties>
</file>