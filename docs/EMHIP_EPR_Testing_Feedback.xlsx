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andsworthcommunity-my.sharepoint.com/personal/ruvimbo_wcen_org_uk/Documents/Documents/CEN/Data/New data system/"/>
    </mc:Choice>
  </mc:AlternateContent>
  <xr:revisionPtr revIDLastSave="20" documentId="11_99B434A71AC443CB32BB5472879921311FDC6ABF" xr6:coauthVersionLast="47" xr6:coauthVersionMax="47" xr10:uidLastSave="{3604913F-9457-4D11-990E-A4D91F836642}"/>
  <bookViews>
    <workbookView xWindow="-110" yWindow="-110" windowWidth="19420" windowHeight="10300" tabRatio="500" xr2:uid="{00000000-000D-0000-FFFF-FFFF00000000}"/>
  </bookViews>
  <sheets>
    <sheet name="Feedback"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 i="2" l="1"/>
  <c r="B8" i="2"/>
  <c r="B7" i="2"/>
  <c r="B5" i="2"/>
  <c r="B4" i="2"/>
  <c r="B3" i="2"/>
  <c r="B2" i="2"/>
</calcChain>
</file>

<file path=xl/sharedStrings.xml><?xml version="1.0" encoding="utf-8"?>
<sst xmlns="http://schemas.openxmlformats.org/spreadsheetml/2006/main" count="92" uniqueCount="57">
  <si>
    <t>#</t>
  </si>
  <si>
    <t>Section</t>
  </si>
  <si>
    <t>Issue</t>
  </si>
  <si>
    <t>Priority</t>
  </si>
  <si>
    <t>Status</t>
  </si>
  <si>
    <t>MUST FIX FIRST</t>
  </si>
  <si>
    <t>1</t>
  </si>
  <si>
    <t>Guest list</t>
  </si>
  <si>
    <t>Must fix</t>
  </si>
  <si>
    <t>Open</t>
  </si>
  <si>
    <t>2</t>
  </si>
  <si>
    <t>Urgent cases</t>
  </si>
  <si>
    <t>3</t>
  </si>
  <si>
    <t>4</t>
  </si>
  <si>
    <t>Pathways</t>
  </si>
  <si>
    <t>Pathways are built with the wrong options throughout the system. The correct pathways are: Mental Wellbeing, Clinical Support, Community Recovery, and AFA. AFA sub-categories (Housing Advice, Food Essentials, Immigration &amp; Legal Advice etc.) should not appear as pathways anywhere. This needs to be corrected in the data model.</t>
  </si>
  <si>
    <t>FIXES</t>
  </si>
  <si>
    <t>5</t>
  </si>
  <si>
    <t>Documents</t>
  </si>
  <si>
    <t>Fix</t>
  </si>
  <si>
    <t>6</t>
  </si>
  <si>
    <t>Contact History</t>
  </si>
  <si>
    <t>7</t>
  </si>
  <si>
    <t>Fix the demographics filter panel — it currently opens behind the left navigation and is cut off. It must open in a position that does not overlap the nav.</t>
  </si>
  <si>
    <t>8</t>
  </si>
  <si>
    <t>Reports</t>
  </si>
  <si>
    <t>Add the ability to cross-filter demographics with DIALOG scores — for example, view DIALOG score changes for Black African guests specifically. This is a critical reporting need for evidencing EMHIP's impact on ethnic minority communities.</t>
  </si>
  <si>
    <t>9</t>
  </si>
  <si>
    <t>10</t>
  </si>
  <si>
    <t>Make it clear the reports tab bar is scrollable — tabs are currently cut off at both ends with no visual indicator that more sections exist.</t>
  </si>
  <si>
    <t>11</t>
  </si>
  <si>
    <t>Whole system</t>
  </si>
  <si>
    <t>Change 'On hold' to 'Inactive' throughout — in status badges, dashboard tiles, reports, and anywhere else it appears.</t>
  </si>
  <si>
    <t>Terminology</t>
  </si>
  <si>
    <t>12</t>
  </si>
  <si>
    <t>Change 'Follow-up' to 'Contact' throughout — Contact History, Add Contact, Contact activity, Total contacts recorded.</t>
  </si>
  <si>
    <t>13</t>
  </si>
  <si>
    <t>Navigation</t>
  </si>
  <si>
    <t>Fix typo in left navigation — 'CASE MANGEMENT' should be 'CASE MANAGEMENT'. Appears on every screen.</t>
  </si>
  <si>
    <t>14</t>
  </si>
  <si>
    <t>Staff activity log</t>
  </si>
  <si>
    <t>Replace technical labels in the staff activity log with plain English — 'Read UrgentEpisode' should be 'Viewed urgent case', 'Read Guest' should be 'Opened guest record'. Guest names should also be visible.</t>
  </si>
  <si>
    <t>15</t>
  </si>
  <si>
    <t>Show full CMHW names throughout — names are being cut off (e.g. 'Gudrun Van...', 'Kevin Cruicksha...'). Widen columns or show full name on hover.</t>
  </si>
  <si>
    <t>Summary</t>
  </si>
  <si>
    <t>Total items</t>
  </si>
  <si>
    <t>In progress</t>
  </si>
  <si>
    <t>Resolved</t>
  </si>
  <si>
    <t xml:space="preserve"> </t>
  </si>
  <si>
    <t xml:space="preserve">Cannot open individual guest profiles from the guest list — clicking a guest's name or row must open their full profile. Currently unable to access this. </t>
  </si>
  <si>
    <t>Cannot open urgent cases — clicking on an urgent case does nothing.</t>
  </si>
  <si>
    <t>Remove Documents as a standalone menu item. documents must only be accessible from within an individual guest's profile where the guest link is automatic.</t>
  </si>
  <si>
    <t>Remove 'CPN sessions' from the AFA &amp; Hospitality tile.  these are unrelated. CPN activity should have its own dedicated section.</t>
  </si>
  <si>
    <t>Add demographics and referral sources to the Excel export — these are required for every report and are currently missing from the export.</t>
  </si>
  <si>
    <t xml:space="preserve"> data tiles and lists on the dashboard are not clickable. Any tile that shows a count of guests should link through to the list of guests behind that number — for example clicking the Urgent Cases count should open the urgent cases list, clicking SMI should show guests with SMI recorded, clicking a CMHW's row in the caseload table should show their guest list, and clicking a guest row in the CPN involvement table should open that guest's record. Data quality issue rows should also link to the list of affected guests. This is standard practice in clinical dashboards and is needed for the Hub Manager to act on what they see.</t>
  </si>
  <si>
    <t xml:space="preserve"> Dashboards</t>
  </si>
  <si>
    <t>EMHIP EPR — Build Feedback · Dashboard Review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</si>
</sst>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2"/>
      <color rgb="FFFFFFFF"/>
      <name val="Arial"/>
      <charset val="1"/>
    </font>
    <font>
      <b/>
      <sz val="10"/>
      <color rgb="FFFFFFFF"/>
      <name val="Arial"/>
      <charset val="1"/>
    </font>
    <font>
      <sz val="10"/>
      <color rgb="FF2C2C2A"/>
      <name val="Arial"/>
      <charset val="1"/>
    </font>
    <font>
      <b/>
      <sz val="10"/>
      <color rgb="FFA32D2D"/>
      <name val="Arial"/>
      <charset val="1"/>
    </font>
    <font>
      <b/>
      <sz val="10"/>
      <color rgb="FF854F0B"/>
      <name val="Arial"/>
      <charset val="1"/>
    </font>
    <font>
      <b/>
      <sz val="10"/>
      <color rgb="FF185FA5"/>
      <name val="Arial"/>
      <charset val="1"/>
    </font>
    <font>
      <b/>
      <sz val="11"/>
      <color rgb="FFFFFFFF"/>
      <name val="Arial"/>
      <charset val="1"/>
    </font>
    <font>
      <b/>
      <sz val="10"/>
      <color rgb="FF2C2C2A"/>
      <name val="Arial"/>
      <charset val="1"/>
    </font>
    <font>
      <sz val="10"/>
      <color rgb="FF2C2C2A"/>
      <name val="Arial"/>
      <family val="2"/>
    </font>
    <font>
      <sz val="10"/>
      <color theme="1"/>
      <name val="Arial"/>
      <family val="2"/>
    </font>
    <font>
      <b/>
      <sz val="12"/>
      <color rgb="FFFFFFFF"/>
      <name val="Arial"/>
      <family val="2"/>
    </font>
  </fonts>
  <fills count="9">
    <fill>
      <patternFill patternType="none"/>
    </fill>
    <fill>
      <patternFill patternType="gray125"/>
    </fill>
    <fill>
      <patternFill patternType="solid">
        <fgColor rgb="FFB01C2E"/>
        <bgColor rgb="FFA32D2D"/>
      </patternFill>
    </fill>
    <fill>
      <patternFill patternType="solid">
        <fgColor rgb="FF2C2C2A"/>
        <bgColor rgb="FF333300"/>
      </patternFill>
    </fill>
    <fill>
      <patternFill patternType="solid">
        <fgColor rgb="FFFFFFFF"/>
        <bgColor rgb="FFF9F8F6"/>
      </patternFill>
    </fill>
    <fill>
      <patternFill patternType="solid">
        <fgColor rgb="FFFCEBEB"/>
        <bgColor rgb="FFFAEEDA"/>
      </patternFill>
    </fill>
    <fill>
      <patternFill patternType="solid">
        <fgColor rgb="FFF9F8F6"/>
        <bgColor rgb="FFFFFFFF"/>
      </patternFill>
    </fill>
    <fill>
      <patternFill patternType="solid">
        <fgColor rgb="FFFAEEDA"/>
        <bgColor rgb="FFFCEBEB"/>
      </patternFill>
    </fill>
    <fill>
      <patternFill patternType="solid">
        <fgColor rgb="FFEDF4FC"/>
        <bgColor rgb="FFF9F8F6"/>
      </patternFill>
    </fill>
  </fills>
  <borders count="4">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s>
  <cellStyleXfs count="1">
    <xf numFmtId="0" fontId="0" fillId="0" borderId="0"/>
  </cellStyleXfs>
  <cellXfs count="23">
    <xf numFmtId="0" fontId="0" fillId="0" borderId="0" xfId="0"/>
    <xf numFmtId="0" fontId="7" fillId="2"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08080"/>
      <rgbColor rgb="FFD3D1C7"/>
      <rgbColor rgb="FF808080"/>
      <rgbColor rgb="FF9999FF"/>
      <rgbColor rgb="FFB01C2E"/>
      <rgbColor rgb="FFFAEEDA"/>
      <rgbColor rgb="FFEDF4FC"/>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F9F8F6"/>
      <rgbColor rgb="FFCCFFCC"/>
      <rgbColor rgb="FFFCEBEB"/>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32D2D"/>
      <rgbColor rgb="FF993366"/>
      <rgbColor rgb="FF33339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showGridLines="0" tabSelected="1" zoomScaleNormal="100" workbookViewId="0">
      <pane ySplit="2" topLeftCell="A3" activePane="bottomLeft" state="frozen"/>
      <selection pane="bottomLeft" sqref="A1:E1"/>
    </sheetView>
  </sheetViews>
  <sheetFormatPr defaultColWidth="8.6328125" defaultRowHeight="14.5" x14ac:dyDescent="0.35"/>
  <cols>
    <col min="1" max="1" width="5" customWidth="1"/>
    <col min="2" max="2" width="22" customWidth="1"/>
    <col min="3" max="3" width="70" customWidth="1"/>
    <col min="4" max="4" width="13" customWidth="1"/>
    <col min="5" max="5" width="16" customWidth="1"/>
  </cols>
  <sheetData>
    <row r="1" spans="1:5" ht="27.75" customHeight="1" x14ac:dyDescent="0.35">
      <c r="A1" s="22" t="s">
        <v>56</v>
      </c>
      <c r="B1" s="5"/>
      <c r="C1" s="5"/>
      <c r="D1" s="5"/>
      <c r="E1" s="5"/>
    </row>
    <row r="2" spans="1:5" ht="24" customHeight="1" x14ac:dyDescent="0.35">
      <c r="A2" s="6" t="s">
        <v>0</v>
      </c>
      <c r="B2" s="6" t="s">
        <v>1</v>
      </c>
      <c r="C2" s="6" t="s">
        <v>2</v>
      </c>
      <c r="D2" s="6" t="s">
        <v>3</v>
      </c>
      <c r="E2" s="6" t="s">
        <v>4</v>
      </c>
    </row>
    <row r="3" spans="1:5" ht="21.75" customHeight="1" x14ac:dyDescent="0.35">
      <c r="A3" s="4" t="s">
        <v>5</v>
      </c>
      <c r="B3" s="4"/>
      <c r="C3" s="4"/>
      <c r="D3" s="4"/>
      <c r="E3" s="4"/>
    </row>
    <row r="4" spans="1:5" ht="48" customHeight="1" x14ac:dyDescent="0.35">
      <c r="A4" s="7" t="s">
        <v>6</v>
      </c>
      <c r="B4" s="8" t="s">
        <v>7</v>
      </c>
      <c r="C4" s="8" t="s">
        <v>49</v>
      </c>
      <c r="D4" s="9" t="s">
        <v>8</v>
      </c>
      <c r="E4" s="7" t="s">
        <v>9</v>
      </c>
    </row>
    <row r="5" spans="1:5" ht="48" customHeight="1" x14ac:dyDescent="0.35">
      <c r="A5" s="10" t="s">
        <v>10</v>
      </c>
      <c r="B5" s="11" t="s">
        <v>11</v>
      </c>
      <c r="C5" s="11" t="s">
        <v>50</v>
      </c>
      <c r="D5" s="9" t="s">
        <v>8</v>
      </c>
      <c r="E5" s="10" t="s">
        <v>9</v>
      </c>
    </row>
    <row r="6" spans="1:5" ht="116" customHeight="1" x14ac:dyDescent="0.35">
      <c r="A6" s="7" t="s">
        <v>12</v>
      </c>
      <c r="B6" s="20" t="s">
        <v>55</v>
      </c>
      <c r="C6" s="20" t="s">
        <v>54</v>
      </c>
      <c r="D6" s="9" t="s">
        <v>8</v>
      </c>
      <c r="E6" s="7" t="s">
        <v>9</v>
      </c>
    </row>
    <row r="7" spans="1:5" ht="21.75" customHeight="1" x14ac:dyDescent="0.35">
      <c r="A7" s="3" t="s">
        <v>13</v>
      </c>
      <c r="B7" s="3" t="s">
        <v>14</v>
      </c>
      <c r="C7" s="3" t="s">
        <v>15</v>
      </c>
      <c r="D7" s="3" t="s">
        <v>8</v>
      </c>
      <c r="E7" s="3" t="s">
        <v>9</v>
      </c>
    </row>
    <row r="8" spans="1:5" ht="48" customHeight="1" x14ac:dyDescent="0.35">
      <c r="A8" s="17" t="s">
        <v>16</v>
      </c>
      <c r="B8" s="18"/>
      <c r="C8" s="18"/>
      <c r="D8" s="18"/>
      <c r="E8" s="18"/>
    </row>
    <row r="9" spans="1:5" ht="48" customHeight="1" x14ac:dyDescent="0.35">
      <c r="A9" s="7" t="s">
        <v>17</v>
      </c>
      <c r="B9" s="8" t="s">
        <v>18</v>
      </c>
      <c r="C9" s="8" t="s">
        <v>51</v>
      </c>
      <c r="D9" s="13" t="s">
        <v>19</v>
      </c>
      <c r="E9" s="7" t="s">
        <v>9</v>
      </c>
    </row>
    <row r="10" spans="1:5" ht="48" customHeight="1" x14ac:dyDescent="0.35">
      <c r="A10" s="10" t="s">
        <v>20</v>
      </c>
      <c r="B10" s="11" t="s">
        <v>21</v>
      </c>
      <c r="C10" s="11" t="s">
        <v>52</v>
      </c>
      <c r="D10" s="13" t="s">
        <v>19</v>
      </c>
      <c r="E10" s="10" t="s">
        <v>9</v>
      </c>
    </row>
    <row r="11" spans="1:5" ht="21.75" customHeight="1" x14ac:dyDescent="0.35">
      <c r="A11" s="2" t="s">
        <v>22</v>
      </c>
      <c r="B11" s="2" t="s">
        <v>7</v>
      </c>
      <c r="C11" s="2" t="s">
        <v>23</v>
      </c>
      <c r="D11" s="2" t="s">
        <v>19</v>
      </c>
      <c r="E11" s="2" t="s">
        <v>9</v>
      </c>
    </row>
    <row r="12" spans="1:5" ht="48" customHeight="1" x14ac:dyDescent="0.35">
      <c r="A12" s="10" t="s">
        <v>24</v>
      </c>
      <c r="B12" s="11" t="s">
        <v>25</v>
      </c>
      <c r="C12" s="11" t="s">
        <v>26</v>
      </c>
      <c r="D12" s="13" t="s">
        <v>19</v>
      </c>
      <c r="E12" s="10" t="s">
        <v>9</v>
      </c>
    </row>
    <row r="13" spans="1:5" ht="48" customHeight="1" x14ac:dyDescent="0.35">
      <c r="A13" s="12" t="s">
        <v>48</v>
      </c>
    </row>
    <row r="14" spans="1:5" ht="48" customHeight="1" x14ac:dyDescent="0.35">
      <c r="A14" s="7" t="s">
        <v>27</v>
      </c>
      <c r="B14" s="8" t="s">
        <v>25</v>
      </c>
      <c r="C14" s="21" t="s">
        <v>53</v>
      </c>
      <c r="D14" s="13" t="s">
        <v>19</v>
      </c>
      <c r="E14" s="7" t="s">
        <v>9</v>
      </c>
    </row>
    <row r="15" spans="1:5" ht="48" customHeight="1" x14ac:dyDescent="0.35">
      <c r="A15" s="10" t="s">
        <v>28</v>
      </c>
      <c r="B15" s="11" t="s">
        <v>25</v>
      </c>
      <c r="C15" s="11" t="s">
        <v>29</v>
      </c>
      <c r="D15" s="13" t="s">
        <v>19</v>
      </c>
      <c r="E15" s="10" t="s">
        <v>9</v>
      </c>
    </row>
    <row r="16" spans="1:5" ht="48" customHeight="1" x14ac:dyDescent="0.35">
      <c r="A16" s="7" t="s">
        <v>30</v>
      </c>
      <c r="B16" s="8" t="s">
        <v>31</v>
      </c>
      <c r="C16" s="8" t="s">
        <v>32</v>
      </c>
      <c r="D16" s="14" t="s">
        <v>33</v>
      </c>
      <c r="E16" s="7" t="s">
        <v>9</v>
      </c>
    </row>
    <row r="17" spans="1:5" ht="48" customHeight="1" x14ac:dyDescent="0.35">
      <c r="A17" s="10" t="s">
        <v>34</v>
      </c>
      <c r="B17" s="11" t="s">
        <v>31</v>
      </c>
      <c r="C17" s="19" t="s">
        <v>35</v>
      </c>
      <c r="D17" s="14" t="s">
        <v>33</v>
      </c>
      <c r="E17" s="10" t="s">
        <v>9</v>
      </c>
    </row>
    <row r="18" spans="1:5" ht="25" x14ac:dyDescent="0.35">
      <c r="A18" s="7" t="s">
        <v>36</v>
      </c>
      <c r="B18" s="8" t="s">
        <v>37</v>
      </c>
      <c r="C18" s="20" t="s">
        <v>38</v>
      </c>
      <c r="D18" s="14" t="s">
        <v>33</v>
      </c>
      <c r="E18" s="7" t="s">
        <v>9</v>
      </c>
    </row>
    <row r="19" spans="1:5" ht="37.5" x14ac:dyDescent="0.35">
      <c r="A19" s="10" t="s">
        <v>39</v>
      </c>
      <c r="B19" s="11" t="s">
        <v>40</v>
      </c>
      <c r="C19" s="19" t="s">
        <v>41</v>
      </c>
      <c r="D19" s="14" t="s">
        <v>33</v>
      </c>
      <c r="E19" s="10" t="s">
        <v>9</v>
      </c>
    </row>
    <row r="20" spans="1:5" ht="25" x14ac:dyDescent="0.35">
      <c r="A20" s="7" t="s">
        <v>42</v>
      </c>
      <c r="B20" s="8" t="s">
        <v>31</v>
      </c>
      <c r="C20" s="8" t="s">
        <v>43</v>
      </c>
      <c r="D20" s="14" t="s">
        <v>33</v>
      </c>
      <c r="E20" s="7" t="s">
        <v>9</v>
      </c>
    </row>
  </sheetData>
  <mergeCells count="5">
    <mergeCell ref="A1:E1"/>
    <mergeCell ref="A3:E3"/>
    <mergeCell ref="A7:E7"/>
    <mergeCell ref="A11:E11"/>
    <mergeCell ref="A8:E8"/>
  </mergeCells>
  <dataValidations count="2">
    <dataValidation type="list" allowBlank="1" sqref="D3:D7 D9:D100" xr:uid="{00000000-0002-0000-0000-000000000000}">
      <formula1>"Must fix,Fix,Terminology"</formula1>
      <formula2>0</formula2>
    </dataValidation>
    <dataValidation type="list" allowBlank="1" sqref="E3:E7 E9:E100" xr:uid="{00000000-0002-0000-0000-000001000000}">
      <formula1>"Open,In progress,Resolved"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zoomScaleNormal="100" workbookViewId="0"/>
  </sheetViews>
  <sheetFormatPr defaultColWidth="8.6328125" defaultRowHeight="14.5" x14ac:dyDescent="0.35"/>
  <cols>
    <col min="1" max="1" width="20" customWidth="1"/>
    <col min="2" max="2" width="12" customWidth="1"/>
  </cols>
  <sheetData>
    <row r="1" spans="1:2" ht="25.5" customHeight="1" x14ac:dyDescent="0.35">
      <c r="A1" s="1" t="s">
        <v>44</v>
      </c>
      <c r="B1" s="1"/>
    </row>
    <row r="2" spans="1:2" ht="21.75" customHeight="1" x14ac:dyDescent="0.35">
      <c r="A2" s="11" t="s">
        <v>45</v>
      </c>
      <c r="B2" s="15">
        <f>COUNTA(Feedback!C:C)-COUNTA(Feedback!C1:C3)-3</f>
        <v>12</v>
      </c>
    </row>
    <row r="3" spans="1:2" ht="21.75" customHeight="1" x14ac:dyDescent="0.35">
      <c r="A3" s="8" t="s">
        <v>8</v>
      </c>
      <c r="B3" s="16">
        <f>COUNTIF(Feedback!D:D,"Must fix")</f>
        <v>4</v>
      </c>
    </row>
    <row r="4" spans="1:2" ht="21.75" customHeight="1" x14ac:dyDescent="0.35">
      <c r="A4" s="11" t="s">
        <v>19</v>
      </c>
      <c r="B4" s="15">
        <f>COUNTIF(Feedback!D:D,"Fix")</f>
        <v>6</v>
      </c>
    </row>
    <row r="5" spans="1:2" ht="21.75" customHeight="1" x14ac:dyDescent="0.35">
      <c r="A5" s="8" t="s">
        <v>33</v>
      </c>
      <c r="B5" s="16">
        <f>COUNTIF(Feedback!D:D,"Terminology")</f>
        <v>5</v>
      </c>
    </row>
    <row r="6" spans="1:2" ht="21.75" customHeight="1" x14ac:dyDescent="0.35"/>
    <row r="7" spans="1:2" ht="21.75" customHeight="1" x14ac:dyDescent="0.35">
      <c r="A7" s="8" t="s">
        <v>9</v>
      </c>
      <c r="B7" s="16">
        <f>COUNTIF(Feedback!E:E,"Open")</f>
        <v>15</v>
      </c>
    </row>
    <row r="8" spans="1:2" ht="21.75" customHeight="1" x14ac:dyDescent="0.35">
      <c r="A8" s="11" t="s">
        <v>46</v>
      </c>
      <c r="B8" s="15">
        <f>COUNTIF(Feedback!E:E,"In progress")</f>
        <v>0</v>
      </c>
    </row>
    <row r="9" spans="1:2" ht="21.75" customHeight="1" x14ac:dyDescent="0.35">
      <c r="A9" s="8" t="s">
        <v>47</v>
      </c>
      <c r="B9" s="16">
        <f>COUNTIF(Feedback!E:E,"Resolved")</f>
        <v>0</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Ruvimbo Chiswo</cp:lastModifiedBy>
  <cp:revision>0</cp:revision>
  <dcterms:created xsi:type="dcterms:W3CDTF">2026-09-29T12:29:21Z</dcterms:created>
  <dcterms:modified xsi:type="dcterms:W3CDTF">2026-09-29T13:05:07Z</dcterms:modified>
  <dc:language>en-US</dc:language>
</cp:coreProperties>
</file>