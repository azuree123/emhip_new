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500" firstSheet="0" activeTab="0" autoFilterDateGrouping="1"/>
  </bookViews>
  <sheets>
    <sheet xmlns:r="http://schemas.openxmlformats.org/officeDocument/2006/relationships" name="Feedback"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0">
    <font>
      <name val="Calibri"/>
      <charset val="1"/>
      <family val="2"/>
      <color theme="1"/>
      <sz val="11"/>
    </font>
    <font>
      <name val="Arial"/>
      <family val="2"/>
      <b val="1"/>
      <color rgb="FFFFFFFF"/>
      <sz val="12"/>
    </font>
    <font>
      <name val="Arial"/>
      <family val="2"/>
      <b val="1"/>
      <color rgb="FFFFFFFF"/>
      <sz val="10"/>
    </font>
    <font>
      <name val="Arial"/>
      <family val="2"/>
      <color rgb="FF2C2C2A"/>
      <sz val="10"/>
    </font>
    <font>
      <name val="Arial"/>
      <family val="2"/>
      <b val="1"/>
      <color rgb="FFA32D2D"/>
      <sz val="10"/>
    </font>
    <font>
      <name val="Arial"/>
      <family val="2"/>
      <b val="1"/>
      <color rgb="FF854F0B"/>
      <sz val="10"/>
    </font>
    <font>
      <name val="Arial"/>
      <family val="2"/>
      <b val="1"/>
      <color rgb="FF5F5E5A"/>
      <sz val="10"/>
    </font>
    <font>
      <name val="Arial"/>
      <family val="2"/>
      <b val="1"/>
      <color rgb="FF185FA5"/>
      <sz val="10"/>
    </font>
    <font>
      <name val="Arial"/>
      <family val="2"/>
      <b val="1"/>
      <color rgb="FFFFFFFF"/>
      <sz val="11"/>
    </font>
    <font>
      <name val="Arial"/>
      <family val="2"/>
      <b val="1"/>
      <color rgb="FF2C2C2A"/>
      <sz val="10"/>
    </font>
  </fonts>
  <fills count="10">
    <fill>
      <patternFill/>
    </fill>
    <fill>
      <patternFill patternType="gray125"/>
    </fill>
    <fill>
      <patternFill patternType="solid">
        <fgColor rgb="FFB01C2E"/>
        <bgColor rgb="FFA32D2D"/>
      </patternFill>
    </fill>
    <fill>
      <patternFill patternType="solid">
        <fgColor rgb="FF2C2C2A"/>
        <bgColor rgb="FF333300"/>
      </patternFill>
    </fill>
    <fill>
      <patternFill patternType="solid">
        <fgColor rgb="FFFFFFFF"/>
        <bgColor rgb="FFF9F8F6"/>
      </patternFill>
    </fill>
    <fill>
      <patternFill patternType="solid">
        <fgColor rgb="FFFCEBEB"/>
        <bgColor rgb="FFFAEEDA"/>
      </patternFill>
    </fill>
    <fill>
      <patternFill patternType="solid">
        <fgColor rgb="FFF9F8F6"/>
        <bgColor rgb="FFFFFFFF"/>
      </patternFill>
    </fill>
    <fill>
      <patternFill patternType="solid">
        <fgColor rgb="FFFAEEDA"/>
        <bgColor rgb="FFFCEBEB"/>
      </patternFill>
    </fill>
    <fill>
      <patternFill patternType="solid">
        <fgColor rgb="FFF1EFE8"/>
        <bgColor rgb="FFFAEEDA"/>
      </patternFill>
    </fill>
    <fill>
      <patternFill patternType="solid">
        <fgColor rgb="FFEDF4FC"/>
        <bgColor rgb="FFF9F8F6"/>
      </patternFill>
    </fill>
  </fills>
  <borders count="7">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
      <left/>
      <right/>
      <top style="thin">
        <color rgb="FFD3D1C7"/>
      </top>
      <bottom/>
      <diagonal/>
    </border>
    <border>
      <left/>
      <right style="thin">
        <color rgb="FFD3D1C7"/>
      </right>
      <top style="thin">
        <color rgb="FFD3D1C7"/>
      </top>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s>
  <cellStyleXfs count="1">
    <xf numFmtId="0" fontId="0" fillId="0" borderId="0"/>
  </cellStyleXfs>
  <cellXfs count="26">
    <xf numFmtId="0" fontId="0" fillId="0" borderId="0" pivotButton="0" quotePrefix="0" xfId="0"/>
    <xf numFmtId="0" fontId="8" fillId="2"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3" borderId="2"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2" fillId="3"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4" borderId="1" applyAlignment="1" pivotButton="0" quotePrefix="0" xfId="0">
      <alignment horizontal="center" vertical="center" wrapText="1"/>
    </xf>
    <xf numFmtId="0" fontId="3" fillId="6" borderId="0" applyAlignment="1" pivotButton="0" quotePrefix="0" xfId="0">
      <alignment horizontal="left" vertical="center" wrapText="1"/>
    </xf>
    <xf numFmtId="0" fontId="3" fillId="6" borderId="0" applyAlignment="1" pivotButton="0" quotePrefix="0" xfId="0">
      <alignment horizontal="center" vertical="center" wrapText="1"/>
    </xf>
    <xf numFmtId="0" fontId="1" fillId="2" borderId="0" pivotButton="0" quotePrefix="0" xfId="0"/>
    <xf numFmtId="0" fontId="0" fillId="0" borderId="5" pivotButton="0" quotePrefix="0" xfId="0"/>
    <xf numFmtId="0" fontId="2" fillId="3" borderId="2" pivotButton="0" quotePrefix="0" xfId="0"/>
    <xf numFmtId="0" fontId="3" fillId="0" borderId="5" pivotButton="0" quotePrefix="0" xfId="0"/>
    <xf numFmtId="0" fontId="2"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08080"/>
      <rgbColor rgb="FFD3D1C7"/>
      <rgbColor rgb="FF808080"/>
      <rgbColor rgb="FF9999FF"/>
      <rgbColor rgb="FFB01C2E"/>
      <rgbColor rgb="FFFAEEDA"/>
      <rgbColor rgb="FFEDF4FC"/>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F1EFE8"/>
      <rgbColor rgb="FFF9F8F6"/>
      <rgbColor rgb="FFFCEBEB"/>
      <rgbColor rgb="FF99CCFF"/>
      <rgbColor rgb="FFFF99CC"/>
      <rgbColor rgb="FFCC99FF"/>
      <rgbColor rgb="FFFFCC99"/>
      <rgbColor rgb="FF3366FF"/>
      <rgbColor rgb="FF33CCCC"/>
      <rgbColor rgb="FF99CC00"/>
      <rgbColor rgb="FFFFCC00"/>
      <rgbColor rgb="FFFF9900"/>
      <rgbColor rgb="FFFF6600"/>
      <rgbColor rgb="FF5F5E5A"/>
      <rgbColor rgb="FF969696"/>
      <rgbColor rgb="FF003366"/>
      <rgbColor rgb="FF339966"/>
      <rgbColor rgb="FF003300"/>
      <rgbColor rgb="FF333300"/>
      <rgbColor rgb="FFA32D2D"/>
      <rgbColor rgb="FF993366"/>
      <rgbColor rgb="FF333399"/>
      <rgbColor rgb="FF2C2C2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showGridLines="0" tabSelected="1" zoomScale="116" zoomScaleNormal="100" workbookViewId="0">
      <pane ySplit="2" topLeftCell="A3" activePane="bottomLeft" state="frozen"/>
      <selection pane="bottomLeft" activeCell="E28" sqref="E28"/>
    </sheetView>
  </sheetViews>
  <sheetFormatPr baseColWidth="10" defaultColWidth="8.6640625" defaultRowHeight="15"/>
  <cols>
    <col width="5" customWidth="1" min="1" max="1"/>
    <col width="20" customWidth="1" min="2" max="2"/>
    <col width="72" customWidth="1" min="3" max="3"/>
    <col width="13" customWidth="1" min="4" max="4"/>
    <col width="15" customWidth="1" min="5" max="5"/>
    <col width="12" customWidth="1" min="6" max="6"/>
    <col width="62" customWidth="1" min="7" max="7"/>
    <col width="44" customWidth="1" min="8" max="8"/>
  </cols>
  <sheetData>
    <row r="1" ht="27.75" customHeight="1">
      <c r="A1" s="5" t="inlineStr">
        <is>
          <t>EMHIP EPR — Build Feedback · Updated 07 October 2026 · Responses 07 October 2026</t>
        </is>
      </c>
    </row>
    <row r="2" ht="24" customHeight="1">
      <c r="A2" s="6" t="inlineStr">
        <is>
          <t>#</t>
        </is>
      </c>
      <c r="B2" s="6" t="inlineStr">
        <is>
          <t>Section</t>
        </is>
      </c>
      <c r="C2" s="6" t="inlineStr">
        <is>
          <t>Issue</t>
        </is>
      </c>
      <c r="D2" s="6" t="inlineStr">
        <is>
          <t>Priority</t>
        </is>
      </c>
      <c r="E2" s="6" t="inlineStr">
        <is>
          <t>Status</t>
        </is>
      </c>
      <c r="F2" s="6" t="inlineStr">
        <is>
          <t>Session</t>
        </is>
      </c>
      <c r="G2" s="6" t="inlineStr">
        <is>
          <t>What we changed</t>
        </is>
      </c>
      <c r="H2" s="6" t="inlineStr">
        <is>
          <t>How to retest</t>
        </is>
      </c>
    </row>
    <row r="3" ht="19.5" customHeight="1">
      <c r="A3" s="4" t="inlineStr">
        <is>
          <t>MUST FIX FIRST — resolve before any further testing</t>
        </is>
      </c>
      <c r="B3" s="21" t="n"/>
      <c r="C3" s="21" t="n"/>
      <c r="D3" s="21" t="n"/>
      <c r="E3" s="21" t="n"/>
      <c r="F3" s="21" t="n"/>
      <c r="G3" s="21" t="n"/>
      <c r="H3" s="21" t="n"/>
    </row>
    <row r="4" ht="49.5" customHeight="1">
      <c r="A4" s="7" t="inlineStr">
        <is>
          <t>1</t>
        </is>
      </c>
      <c r="B4" s="8" t="inlineStr">
        <is>
          <t>Guest list</t>
        </is>
      </c>
      <c r="C4" s="8" t="inlineStr">
        <is>
          <t>Clicking on a guest in the guest list does not open their profile. This must work — it is the main way staff access a guest record.</t>
        </is>
      </c>
      <c r="D4" s="9" t="inlineStr">
        <is>
          <t>Must fix</t>
        </is>
      </c>
      <c r="E4" s="7" t="inlineStr">
        <is>
          <t>Resolved</t>
        </is>
      </c>
      <c r="F4" s="7" t="inlineStr">
        <is>
          <t>1</t>
        </is>
      </c>
      <c r="G4" s="8" t="inlineStr">
        <is>
          <t>Already resolved in round 1 — guest names, rows and Open all open the full record.</t>
        </is>
      </c>
      <c r="H4" s="8" t="inlineStr">
        <is>
          <t>Guest list: click a guest name, then a row.</t>
        </is>
      </c>
    </row>
    <row r="5" ht="49.5" customHeight="1">
      <c r="A5" s="10" t="inlineStr">
        <is>
          <t>2</t>
        </is>
      </c>
      <c r="B5" s="11" t="inlineStr">
        <is>
          <t>Urgent cases</t>
        </is>
      </c>
      <c r="C5" s="11" t="inlineStr">
        <is>
          <t>Clicking on an urgent case in the Urgent Cases dashboard does not open the case. This must work — staff need to be able to open and act on urgent cases.</t>
        </is>
      </c>
      <c r="D5" s="9" t="inlineStr">
        <is>
          <t>Must fix</t>
        </is>
      </c>
      <c r="E5" s="10" t="inlineStr">
        <is>
          <t>Resolved</t>
        </is>
      </c>
      <c r="F5" s="10" t="inlineStr">
        <is>
          <t>1</t>
        </is>
      </c>
      <c r="G5" s="11" t="inlineStr">
        <is>
          <t>Clicking a case now opens the full Urgent Case Record directly (see item 8).</t>
        </is>
      </c>
      <c r="H5" s="11" t="inlineStr">
        <is>
          <t>Urgent Cases: click any case.</t>
        </is>
      </c>
    </row>
    <row r="6" ht="81" customHeight="1">
      <c r="A6" s="7" t="inlineStr">
        <is>
          <t>3</t>
        </is>
      </c>
      <c r="B6" s="8" t="inlineStr">
        <is>
          <t>Dashboard</t>
        </is>
      </c>
      <c r="C6" s="8" t="inlineStr">
        <is>
          <t>Numbers on the dashboard are not clickable. Each number that represents a group of guests should open a list of those guests when clicked. For example: clicking the Urgent Cases number opens the urgent cases list; clicking SMI shows all guests with SMI recorded; clicking a CMHW's row shows their guest list; clicking a data quality issue shows the guests affected by it.</t>
        </is>
      </c>
      <c r="D6" s="9" t="inlineStr">
        <is>
          <t>Must fix</t>
        </is>
      </c>
      <c r="E6" s="7" t="inlineStr">
        <is>
          <t>Resolved</t>
        </is>
      </c>
      <c r="F6" s="7" t="inlineStr">
        <is>
          <t>1</t>
        </is>
      </c>
      <c r="G6" s="8" t="inlineStr">
        <is>
          <t>Already resolved in round 1 — every dashboard count opens the guests behind it.</t>
        </is>
      </c>
      <c r="H6" s="8" t="inlineStr">
        <is>
          <t>Dashboard: click tiles, CMHW rows and data quality rows.</t>
        </is>
      </c>
    </row>
    <row r="7" ht="19.5" customHeight="1">
      <c r="A7" s="10" t="inlineStr">
        <is>
          <t>4</t>
        </is>
      </c>
      <c r="B7" s="21" t="n"/>
      <c r="C7" s="21" t="n"/>
      <c r="D7" s="21" t="n"/>
      <c r="E7" s="21" t="n"/>
      <c r="F7" s="21" t="n"/>
      <c r="G7" s="21" t="n"/>
      <c r="H7" s="25" t="n"/>
    </row>
    <row r="8" ht="49.5" customHeight="1">
      <c r="A8" s="12" t="inlineStr">
        <is>
          <t>URGENT CASES</t>
        </is>
      </c>
    </row>
    <row r="9" ht="96" customHeight="1">
      <c r="A9" s="7" t="inlineStr">
        <is>
          <t>5</t>
        </is>
      </c>
      <c r="B9" s="8" t="inlineStr">
        <is>
          <t>Urgent cases — whole flow</t>
        </is>
      </c>
      <c r="C9" s="8" t="inlineStr">
        <is>
          <t>The urgent case feature uses three different names in different places: 'Urgent Flag' when raising it, 'Urgent Case' on the dashboard, and 'Crisis Episode' on the record. Change everything to say 'Urgent Case' throughout the system.</t>
        </is>
      </c>
      <c r="D9" s="13" t="inlineStr">
        <is>
          <t>Fix</t>
        </is>
      </c>
      <c r="E9" s="7" t="inlineStr">
        <is>
          <t>Resolved</t>
        </is>
      </c>
      <c r="F9" s="7" t="inlineStr">
        <is>
          <t>2</t>
        </is>
      </c>
      <c r="G9" s="8" t="inlineStr">
        <is>
          <t>Everything now says 'Urgent Case': the guest header button is 'Raise Urgent Case', the dashboard button is 'View Urgent Case Record', the record is the 'Urgent Case Record' with tabs 'Urgent Case 1, 2…', and the email, reports, Excel export, registration and Initial Conversation wording match. 'Crisis Episode' and 'Urgent Episode' no longer appear.</t>
        </is>
      </c>
      <c r="H9" s="8" t="inlineStr">
        <is>
          <t>Raise an urgent case on a guest, then open it from Urgent Cases. Check the button, popup, record title, tabs and export file.</t>
        </is>
      </c>
    </row>
    <row r="10" ht="66" customHeight="1">
      <c r="A10" s="10" t="inlineStr">
        <is>
          <t>6</t>
        </is>
      </c>
      <c r="B10" s="11" t="inlineStr">
        <is>
          <t>Urgent cases — raise flag form</t>
        </is>
      </c>
      <c r="C10" s="11" t="inlineStr">
        <is>
          <t>On the form to raise an urgent case, add an 'Other' option to the list of risk types. When staff select 'Other', show a text box so they can describe the risk.</t>
        </is>
      </c>
      <c r="D10" s="13" t="inlineStr">
        <is>
          <t>Fix</t>
        </is>
      </c>
      <c r="E10" s="10" t="inlineStr">
        <is>
          <t>Resolved</t>
        </is>
      </c>
      <c r="F10" s="10" t="inlineStr">
        <is>
          <t>2</t>
        </is>
      </c>
      <c r="G10" s="11" t="inlineStr">
        <is>
          <t>'Other' added to the risk types. Ticking it shows a 'Describe the other risk' box, which must be filled in. It then shows as 'Other: &lt;description&gt;' on the dashboard, the record, the CSV export and the email.</t>
        </is>
      </c>
      <c r="H10" s="11" t="inlineStr">
        <is>
          <t>Guest › Raise Urgent Case › tick Other: the box appears and the case can't be raised until it is filled in.</t>
        </is>
      </c>
    </row>
    <row r="11" ht="51" customHeight="1">
      <c r="A11" s="7" t="inlineStr">
        <is>
          <t>7</t>
        </is>
      </c>
      <c r="B11" s="8" t="inlineStr">
        <is>
          <t>Urgent cases — raise flag form</t>
        </is>
      </c>
      <c r="C11" s="8" t="inlineStr">
        <is>
          <t>On the form to raise an urgent case, make the notes field compulsory. Staff must not be able to submit the form without filling in the notes — a risk flag with no notes is not acceptable.</t>
        </is>
      </c>
      <c r="D11" s="13" t="inlineStr">
        <is>
          <t>Fix</t>
        </is>
      </c>
      <c r="E11" s="7" t="inlineStr">
        <is>
          <t>Resolved</t>
        </is>
      </c>
      <c r="F11" s="7" t="inlineStr">
        <is>
          <t>2</t>
        </is>
      </c>
      <c r="G11" s="8" t="inlineStr">
        <is>
          <t>'Urgent case notes' is now compulsory. The button stays disabled until notes are entered, and the system also refuses an urgent case with no notes.</t>
        </is>
      </c>
      <c r="H11" s="8" t="inlineStr">
        <is>
          <t>Raise Urgent Case: tick a risk and leave notes blank — it cannot be submitted.</t>
        </is>
      </c>
    </row>
    <row r="12" ht="51" customHeight="1">
      <c r="A12" s="10" t="inlineStr">
        <is>
          <t>8</t>
        </is>
      </c>
      <c r="B12" s="11" t="inlineStr">
        <is>
          <t>Urgent cases — dashboard</t>
        </is>
      </c>
      <c r="C12" s="11" t="inlineStr">
        <is>
          <t>On the Urgent Cases dashboard, clicking a case currently opens a small popup box. Remove this popup. The two buttons already shown on each case row — 'Open Guest' and 'View Urgent Case Record' — are enough.</t>
        </is>
      </c>
      <c r="D12" s="13" t="inlineStr">
        <is>
          <t>Fix</t>
        </is>
      </c>
      <c r="E12" s="10" t="inlineStr">
        <is>
          <t>Resolved</t>
        </is>
      </c>
      <c r="F12" s="10" t="inlineStr">
        <is>
          <t>2</t>
        </is>
      </c>
      <c r="G12" s="11" t="inlineStr">
        <is>
          <t>The popup is removed. Clicking anywhere on a case opens the full Urgent Case Record. Each row keeps 'Open Guest' and 'View Urgent Case Record'; resolved rows now have the same two buttons.</t>
        </is>
      </c>
      <c r="H12" s="11" t="inlineStr">
        <is>
          <t>Urgent Cases: click a case card (not a button) — the full record opens, no popup.</t>
        </is>
      </c>
    </row>
    <row r="13" ht="49.5" customHeight="1">
      <c r="A13" s="7" t="inlineStr">
        <is>
          <t>9</t>
        </is>
      </c>
      <c r="B13" s="8" t="inlineStr">
        <is>
          <t>Urgent cases — dashboard</t>
        </is>
      </c>
      <c r="C13" s="8" t="inlineStr">
        <is>
          <t>Rename the 'View Crisis Episode' button to 'View Urgent Case Record'.</t>
        </is>
      </c>
      <c r="D13" s="13" t="inlineStr">
        <is>
          <t>Fix</t>
        </is>
      </c>
      <c r="E13" s="7" t="inlineStr">
        <is>
          <t>Resolved</t>
        </is>
      </c>
      <c r="F13" s="7" t="inlineStr">
        <is>
          <t>2</t>
        </is>
      </c>
      <c r="G13" s="8" t="inlineStr">
        <is>
          <t>Renamed to 'View Urgent Case Record'.</t>
        </is>
      </c>
      <c r="H13" s="8" t="inlineStr">
        <is>
          <t>Urgent Cases: check the button on each row.</t>
        </is>
      </c>
    </row>
    <row r="14" ht="96" customHeight="1">
      <c r="A14" s="10" t="inlineStr">
        <is>
          <t>10</t>
        </is>
      </c>
      <c r="B14" s="11" t="inlineStr">
        <is>
          <t>Urgent cases — record</t>
        </is>
      </c>
      <c r="C14" s="11" t="inlineStr">
        <is>
          <t>The Urgent Case Record shows 'Flag raised by: System Administrator'. This must show the actual name of the staff member who raised the flag, taken automatically from their login.</t>
        </is>
      </c>
      <c r="D14" s="13" t="inlineStr">
        <is>
          <t>Fix</t>
        </is>
      </c>
      <c r="E14" s="10" t="inlineStr">
        <is>
          <t>Resolved</t>
        </is>
      </c>
      <c r="F14" s="10" t="inlineStr">
        <is>
          <t>2</t>
        </is>
      </c>
      <c r="G14" s="11" t="inlineStr">
        <is>
          <t>The name is taken from the login of whoever raised the case, and every route now records it. It showed 'System Administrator' because testing used the shared start-up admin account, whose name is 'System Administrator'. Staff need to use their own logins; the admin account can be renamed in Admin › Users. Clearing the old test cases is item 34.</t>
        </is>
      </c>
      <c r="H14" s="11" t="inlineStr">
        <is>
          <t>Sign in as a named staff member, raise an urgent case, open the record: Flag raised by shows your name.</t>
        </is>
      </c>
    </row>
    <row r="15" ht="81" customHeight="1">
      <c r="A15" s="7" t="inlineStr">
        <is>
          <t>11</t>
        </is>
      </c>
      <c r="B15" s="8" t="inlineStr">
        <is>
          <t>Urgent cases — record</t>
        </is>
      </c>
      <c r="C15" s="8" t="inlineStr">
        <is>
          <t>Remove the 'Escalate to CMHT' button. EMHIP does not have a system connection to CMHT so this button does nothing. Replace it with a simple text field where staff can record whether they contacted CMHT, who they spoke to, when, and what was said.</t>
        </is>
      </c>
      <c r="D15" s="13" t="inlineStr">
        <is>
          <t>Fix</t>
        </is>
      </c>
      <c r="E15" s="7" t="inlineStr">
        <is>
          <t>Resolved</t>
        </is>
      </c>
      <c r="F15" s="7" t="inlineStr">
        <is>
          <t>2</t>
        </is>
      </c>
      <c r="G15" s="8" t="inlineStr">
        <is>
          <t>'Escalate to CMHT' is removed. In its place, under Actions taken: 'CMHT or other NHS team notified' Yes / No. Yes asks for the name of the person called, team or service, date and time of call, and what was said; 'Called by' is filled from your login. Earlier escalations were carried over as 'Yes'.</t>
        </is>
      </c>
      <c r="H15" s="8" t="inlineStr">
        <is>
          <t>Urgent Case Record › Actions taken: choose Yes, fill in the fields, Save. Then Edit, choose No, Save.</t>
        </is>
      </c>
    </row>
    <row r="16" ht="19.5" customHeight="1">
      <c r="A16" s="10" t="inlineStr">
        <is>
          <t>12</t>
        </is>
      </c>
      <c r="B16" s="21" t="n"/>
      <c r="C16" s="21" t="n"/>
      <c r="D16" s="21" t="n"/>
      <c r="E16" s="21" t="n"/>
      <c r="F16" s="21" t="n"/>
      <c r="G16" s="21" t="n"/>
      <c r="H16" s="25" t="n"/>
    </row>
    <row r="17" ht="49.5" customHeight="1">
      <c r="A17" s="7" t="inlineStr">
        <is>
          <t>13</t>
        </is>
      </c>
      <c r="B17" s="8" t="inlineStr">
        <is>
          <t>Urgent cases — record</t>
        </is>
      </c>
      <c r="C17" s="8" t="inlineStr">
        <is>
          <t>The tabs at the top of the Urgent Case Record are labelled 'Episode 1', 'Episode 2'. Change these to 'Urgent Case 1', 'Urgent Case 2'.</t>
        </is>
      </c>
      <c r="D17" s="14" t="inlineStr">
        <is>
          <t>Minor</t>
        </is>
      </c>
      <c r="E17" s="7" t="inlineStr">
        <is>
          <t>Resolved</t>
        </is>
      </c>
      <c r="F17" s="7" t="inlineStr">
        <is>
          <t>2</t>
        </is>
      </c>
      <c r="G17" s="8" t="inlineStr">
        <is>
          <t>Tabs now read 'Urgent Case 1', 'Urgent Case 2'… oldest first. The open urgent case is shown first.</t>
        </is>
      </c>
      <c r="H17" s="8" t="inlineStr">
        <is>
          <t>Open a guest with more than one urgent case.</t>
        </is>
      </c>
    </row>
    <row r="18" ht="19.5" customHeight="1">
      <c r="A18" s="4" t="inlineStr">
        <is>
          <t>CLINICAL DETAILS</t>
        </is>
      </c>
      <c r="B18" s="21" t="n"/>
      <c r="C18" s="21" t="n"/>
      <c r="D18" s="21" t="n"/>
      <c r="E18" s="21" t="n"/>
      <c r="F18" s="21" t="n"/>
      <c r="G18" s="21" t="n"/>
      <c r="H18" s="21" t="n"/>
    </row>
    <row r="19" ht="66" customHeight="1">
      <c r="A19" s="10" t="inlineStr">
        <is>
          <t>14</t>
        </is>
      </c>
      <c r="B19" s="11" t="inlineStr">
        <is>
          <t>Guest workspace — Clinical Details</t>
        </is>
      </c>
      <c r="C19" s="11" t="inlineStr">
        <is>
          <t>Remove the risk assessment checkboxes and 'Save assessment' button from the Clinical Details tab. Staff raise urgent cases using the 'Raise Urgent Flag' button instead. Having it in two places is confusing, and using the version on this tab will not start the 72-hour clock.</t>
        </is>
      </c>
      <c r="D19" s="13" t="inlineStr">
        <is>
          <t>Fix</t>
        </is>
      </c>
      <c r="E19" s="10" t="inlineStr">
        <is>
          <t>Resolved</t>
        </is>
      </c>
      <c r="F19" s="10" t="inlineStr">
        <is>
          <t>2</t>
        </is>
      </c>
      <c r="G19" s="11" t="inlineStr">
        <is>
          <t>The risk checkboxes, '+ Record assessment' and 'Save assessment' are removed from Clinical Details. Urgent cases are raised only with 'Raise Urgent Case', which starts the 72-hour clock.</t>
        </is>
      </c>
      <c r="H19" s="11" t="inlineStr">
        <is>
          <t>Guest › Clinical Details › Risk &amp; complexity: no form or Save assessment button.</t>
        </is>
      </c>
    </row>
    <row r="20" ht="66" customHeight="1">
      <c r="A20" s="7" t="inlineStr">
        <is>
          <t>15</t>
        </is>
      </c>
      <c r="B20" s="8" t="inlineStr">
        <is>
          <t>Guest workspace — Clinical Details</t>
        </is>
      </c>
      <c r="C20" s="8" t="inlineStr">
        <is>
          <t>Keep the 'Immediate risk flag' field on the Clinical Details tab but make it read-only. It should automatically show whether an urgent flag has been raised for this guest and when. Staff should not be able to edit it from this tab.</t>
        </is>
      </c>
      <c r="D20" s="13" t="inlineStr">
        <is>
          <t>Fix</t>
        </is>
      </c>
      <c r="E20" s="7" t="inlineStr">
        <is>
          <t>Resolved</t>
        </is>
      </c>
      <c r="F20" s="7" t="inlineStr">
        <is>
          <t>2</t>
        </is>
      </c>
      <c r="G20" s="8" t="inlineStr">
        <is>
          <t>'Immediate risk flag' is read-only and automatic: 'Yes — urgent case open' with the date and time it was raised, otherwise 'No open urgent case' with when the last one was raised and resolved, or 'No urgent case raised'.</t>
        </is>
      </c>
      <c r="H20" s="8" t="inlineStr">
        <is>
          <t>Raise an urgent case, open Clinical Details: shows Yes and the time. Resolve it: shows No and the dates.</t>
        </is>
      </c>
    </row>
    <row r="21" ht="49.5" customHeight="1">
      <c r="A21" s="12" t="inlineStr">
        <is>
          <t>CONTACT LOGGING</t>
        </is>
      </c>
    </row>
    <row r="22" ht="66" customHeight="1">
      <c r="A22" s="10" t="inlineStr">
        <is>
          <t>16</t>
        </is>
      </c>
      <c r="B22" s="11" t="inlineStr">
        <is>
          <t>Guest workspace — Contact History</t>
        </is>
      </c>
      <c r="C22" s="11" t="inlineStr">
        <is>
          <t>The Contact History tab shows how staff contacted the guest (Phone Call, Text Message, Email etc.) but it should show what type of contact it was (Casework, Activity, Hospitality, AFA) — which is what staff select when they log a contact. The contact method can appear as smaller detail underneath the type.</t>
        </is>
      </c>
      <c r="D22" s="13" t="inlineStr">
        <is>
          <t>Fix</t>
        </is>
      </c>
      <c r="E22" s="10" t="inlineStr">
        <is>
          <t>Resolved</t>
        </is>
      </c>
      <c r="F22" s="10" t="inlineStr">
        <is>
          <t>2</t>
        </is>
      </c>
      <c r="G22" s="11" t="inlineStr">
        <is>
          <t>Each contact now leads with its type as chosen in Add Contact: Casework, Activity, Hospitality, AFA (or CPN contact). The method — phone call, text message, etc. — is the smaller line underneath, with the date and who recorded it.</t>
        </is>
      </c>
      <c r="H22" s="11" t="inlineStr">
        <is>
          <t>Log a Casework and an Activity contact, then open the guest’s Contact History tab.</t>
        </is>
      </c>
    </row>
    <row r="23" ht="19.5" customHeight="1">
      <c r="A23" s="7" t="inlineStr">
        <is>
          <t>17</t>
        </is>
      </c>
      <c r="B23" s="21" t="n"/>
      <c r="C23" s="21" t="n"/>
      <c r="D23" s="21" t="n"/>
      <c r="E23" s="21" t="n"/>
      <c r="F23" s="21" t="n"/>
      <c r="G23" s="21" t="n"/>
      <c r="H23" s="25" t="n"/>
    </row>
    <row r="24" ht="19.5" customHeight="1">
      <c r="A24" s="10" t="inlineStr">
        <is>
          <t>18</t>
        </is>
      </c>
      <c r="B24" s="21" t="n"/>
      <c r="C24" s="21" t="n"/>
      <c r="D24" s="21" t="n"/>
      <c r="E24" s="21" t="n"/>
      <c r="F24" s="21" t="n"/>
      <c r="G24" s="21" t="n"/>
      <c r="H24" s="25" t="n"/>
    </row>
    <row r="25" ht="66" customHeight="1">
      <c r="A25" s="7" t="inlineStr">
        <is>
          <t>19</t>
        </is>
      </c>
      <c r="B25" s="8" t="inlineStr">
        <is>
          <t>Guest workspace — Contact History</t>
        </is>
      </c>
      <c r="C25" s="8" t="inlineStr">
        <is>
          <t>Add a separate 'Casework Notes' tab to the guest record that shows only casework entries in date order. Casework notes are the clinical record — staff need to find them quickly without scrolling through phone calls and activity entries. The full Contact History tab stays as it is.</t>
        </is>
      </c>
      <c r="D25" s="13" t="inlineStr">
        <is>
          <t>Fix</t>
        </is>
      </c>
      <c r="E25" s="7" t="inlineStr">
        <is>
          <t>Resolved</t>
        </is>
      </c>
      <c r="F25" s="7" t="inlineStr">
        <is>
          <t>2</t>
        </is>
      </c>
      <c r="G25" s="8" t="inlineStr">
        <is>
          <t>New 'Casework Notes' tab, after Contact History. It shows only Casework entries, newest first, and each expands to the full note. Contact History is unchanged.</t>
        </is>
      </c>
      <c r="H25" s="8" t="inlineStr">
        <is>
          <t>Guest › Casework Notes: only Casework entries appear, not activities or hospitality.</t>
        </is>
      </c>
    </row>
    <row r="26" ht="19.5" customHeight="1">
      <c r="A26" s="10" t="inlineStr">
        <is>
          <t>20</t>
        </is>
      </c>
      <c r="B26" s="21" t="n"/>
      <c r="C26" s="21" t="n"/>
      <c r="D26" s="21" t="n"/>
      <c r="E26" s="21" t="n"/>
      <c r="F26" s="21" t="n"/>
      <c r="G26" s="21" t="n"/>
      <c r="H26" s="25" t="n"/>
    </row>
    <row r="27" ht="49.5" customHeight="1">
      <c r="A27" s="12" t="inlineStr">
        <is>
          <t>CARE PLAN</t>
        </is>
      </c>
    </row>
    <row r="28" ht="49.5" customHeight="1">
      <c r="A28" s="7" t="inlineStr">
        <is>
          <t>21</t>
        </is>
      </c>
      <c r="B28" s="8" t="inlineStr">
        <is>
          <t>Guest workspace — Care Plan</t>
        </is>
      </c>
      <c r="C28" s="8" t="inlineStr">
        <is>
          <t>The status labels on care plans (Active, Closed) are grey. Make these match the coloured labels used elsewhere in the system.</t>
        </is>
      </c>
      <c r="D28" s="14" t="inlineStr">
        <is>
          <t>Minor</t>
        </is>
      </c>
      <c r="E28" s="7" t="inlineStr">
        <is>
          <t>Resolved</t>
        </is>
      </c>
      <c r="F28" s="7" t="inlineStr">
        <is>
          <t>2</t>
        </is>
      </c>
      <c r="G28" s="8" t="inlineStr">
        <is>
          <t>Care plan status labels are now coloured: Active is green, like an Active guest, and Closed is blue.</t>
        </is>
      </c>
      <c r="H28" s="8" t="inlineStr">
        <is>
          <t>Guest › Care Plan: check the label on the active and on a closed plan.</t>
        </is>
      </c>
    </row>
    <row r="29" ht="49.5" customHeight="1">
      <c r="A29" s="12" t="inlineStr">
        <is>
          <t>DOCUMENTS</t>
        </is>
      </c>
    </row>
    <row r="30" ht="19.5" customHeight="1">
      <c r="A30" s="10" t="inlineStr">
        <is>
          <t>22</t>
        </is>
      </c>
      <c r="B30" s="21" t="n"/>
      <c r="C30" s="21" t="n"/>
      <c r="D30" s="21" t="n"/>
      <c r="E30" s="21" t="n"/>
      <c r="F30" s="21" t="n"/>
      <c r="G30" s="21" t="n"/>
      <c r="H30" s="25" t="n"/>
    </row>
    <row r="31" ht="81" customHeight="1">
      <c r="A31" s="7" t="inlineStr">
        <is>
          <t>23</t>
        </is>
      </c>
      <c r="B31" s="8" t="inlineStr">
        <is>
          <t>Documents</t>
        </is>
      </c>
      <c r="C31" s="8" t="inlineStr">
        <is>
          <t>Confirm how long deleted documents are kept in the recycle bin before being permanently removed. This must meet the NHS minimum of 8 years for mental health records.</t>
        </is>
      </c>
      <c r="D31" s="13" t="inlineStr">
        <is>
          <t>Fix</t>
        </is>
      </c>
      <c r="E31" s="7" t="inlineStr">
        <is>
          <t>Resolved</t>
        </is>
      </c>
      <c r="F31" s="7" t="inlineStr">
        <is>
          <t>1</t>
        </is>
      </c>
      <c r="G31" s="8" t="inlineStr">
        <is>
          <t>Deleted documents are never removed automatically. They stay in the recycle bin until someone with permission permanently deletes them, and the system now blocks that for 8 years from upload, the NHS minimum. The default retention is now 8 years; shorter dates are refused; existing documents were brought up to at least 8 years.</t>
        </is>
      </c>
      <c r="H31" s="8" t="inlineStr">
        <is>
          <t>Upload a document, set Retain until to next year — refused. Delete it, then try Delete permanently — refused with the retain-until date.</t>
        </is>
      </c>
    </row>
    <row r="32" ht="49.5" customHeight="1">
      <c r="A32" s="12" t="inlineStr">
        <is>
          <t>REPORTS</t>
        </is>
      </c>
    </row>
    <row r="33" hidden="1" ht="49.5" customHeight="1">
      <c r="A33" s="10" t="inlineStr">
        <is>
          <t>24</t>
        </is>
      </c>
      <c r="B33" s="11" t="inlineStr">
        <is>
          <t>Reports</t>
        </is>
      </c>
      <c r="C33" s="11" t="inlineStr">
        <is>
          <t>Add the ability to filter DIALOG scores by ethnicity — for example, to see DIALOG score changes specifically for Black African guests. This is needed to show whether the programme is improving outcomes for ethnic minority communities.</t>
        </is>
      </c>
      <c r="D33" s="13" t="inlineStr">
        <is>
          <t>Fix</t>
        </is>
      </c>
      <c r="E33" s="10" t="inlineStr">
        <is>
          <t>Resolved</t>
        </is>
      </c>
      <c r="F33" s="10" t="inlineStr">
        <is>
          <t>1</t>
        </is>
      </c>
    </row>
    <row r="34" hidden="1" ht="51" customHeight="1">
      <c r="A34" s="7" t="inlineStr">
        <is>
          <t>25</t>
        </is>
      </c>
      <c r="B34" s="8" t="inlineStr">
        <is>
          <t>Reports</t>
        </is>
      </c>
      <c r="C34" s="8" t="inlineStr">
        <is>
          <t>Add demographics and referral sources to the Excel export. These are needed for every delivery group report and are currently not included.</t>
        </is>
      </c>
      <c r="D34" s="13" t="inlineStr">
        <is>
          <t>Fix</t>
        </is>
      </c>
      <c r="E34" s="7" t="inlineStr">
        <is>
          <t>Resolved</t>
        </is>
      </c>
      <c r="F34" s="7" t="inlineStr">
        <is>
          <t>1</t>
        </is>
      </c>
      <c r="G34" s="8" t="inlineStr">
        <is>
          <t>Resolved in round 1 — the Excel export has Demographics and Referral sources sheets (all guests and the period), and the CSV has ethnicity, age group, gender, country of origin and referral columns.</t>
        </is>
      </c>
      <c r="H34" s="8" t="inlineStr">
        <is>
          <t>Reports › Export to Excel and Export CSV; open the files.</t>
        </is>
      </c>
    </row>
    <row r="35" ht="19.5" customHeight="1">
      <c r="A35" s="10" t="inlineStr">
        <is>
          <t>26</t>
        </is>
      </c>
      <c r="B35" s="21" t="n"/>
      <c r="C35" s="21" t="n"/>
      <c r="D35" s="21" t="n"/>
      <c r="E35" s="21" t="n"/>
      <c r="F35" s="21" t="n"/>
      <c r="G35" s="21" t="n"/>
      <c r="H35" s="25" t="n"/>
    </row>
    <row r="36" ht="51" customHeight="1">
      <c r="A36" s="7" t="inlineStr">
        <is>
          <t>27</t>
        </is>
      </c>
      <c r="B36" s="8" t="inlineStr">
        <is>
          <t>Contact History — tiles</t>
        </is>
      </c>
      <c r="C36" s="8" t="inlineStr">
        <is>
          <t>The AFA &amp; Hospitality tile shows '0 CPN sessions' underneath it. CPN sessions are not related to AFA or Hospitality. Remove CPN sessions from this tile — CPN activity should have its own section.</t>
        </is>
      </c>
      <c r="D36" s="13" t="inlineStr">
        <is>
          <t>Fix</t>
        </is>
      </c>
      <c r="E36" s="7" t="inlineStr">
        <is>
          <t>Resolved</t>
        </is>
      </c>
      <c r="F36" s="7" t="inlineStr">
        <is>
          <t>1</t>
        </is>
      </c>
      <c r="G36" s="8" t="inlineStr">
        <is>
          <t>Resolved in round 1 — the AFA &amp; Hospitality tile shows AFA and hospitality only. CPN has its own CPN activity section.</t>
        </is>
      </c>
      <c r="H36" s="8" t="inlineStr">
        <is>
          <t>Contact History: AFA &amp; Hospitality tile and the CPN activity section.</t>
        </is>
      </c>
    </row>
    <row r="37" ht="56" customHeight="1">
      <c r="A37" s="12" t="inlineStr">
        <is>
          <t>TERMINOLOGY</t>
        </is>
      </c>
    </row>
    <row r="38" ht="36" customHeight="1">
      <c r="A38" s="10" t="inlineStr">
        <is>
          <t>28</t>
        </is>
      </c>
      <c r="B38" s="11" t="inlineStr">
        <is>
          <t>Whole system</t>
        </is>
      </c>
      <c r="C38" s="11" t="inlineStr">
        <is>
          <t>Change 'On hold' to 'Inactive' everywhere — in status labels, dashboard tiles, and reports.</t>
        </is>
      </c>
      <c r="D38" s="15" t="inlineStr">
        <is>
          <t>Terminology</t>
        </is>
      </c>
      <c r="E38" s="10" t="inlineStr">
        <is>
          <t>Resolved</t>
        </is>
      </c>
      <c r="F38" s="10" t="inlineStr">
        <is>
          <t>1</t>
        </is>
      </c>
      <c r="G38" s="11" t="inlineStr">
        <is>
          <t>Resolved in round 1 — 'Inactive' everywhere. Also now: the guest import accepts 'Inactive' in the status column.</t>
        </is>
      </c>
      <c r="H38" s="11" t="inlineStr">
        <is>
          <t>Status badges, filters, dashboard, reports.</t>
        </is>
      </c>
    </row>
    <row r="39" ht="66" customHeight="1">
      <c r="A39" s="7" t="inlineStr">
        <is>
          <t>29</t>
        </is>
      </c>
      <c r="B39" s="8" t="inlineStr">
        <is>
          <t>Whole system</t>
        </is>
      </c>
      <c r="C39" s="8" t="inlineStr">
        <is>
          <t>Change 'Follow-up' to 'Contact' everywhere — Contact History, Add Contact, contact activity totals.</t>
        </is>
      </c>
      <c r="D39" s="15" t="inlineStr">
        <is>
          <t>Terminology</t>
        </is>
      </c>
      <c r="E39" s="7" t="inlineStr">
        <is>
          <t>Resolved</t>
        </is>
      </c>
      <c r="F39" s="7" t="inlineStr">
        <is>
          <t>1</t>
        </is>
      </c>
      <c r="G39" s="8" t="inlineStr">
        <is>
          <t>Resolved in round 1 — 'Contact' everywhere. Also now: Settings › Lookups shows 'CPN contact frequency', and the overdue-contact email picks up the new wording automatically unless it was edited in Settings.</t>
        </is>
      </c>
      <c r="H39" s="8" t="inlineStr">
        <is>
          <t>Contact History, Add Contact, Contacts screen, Settings › Lookups.</t>
        </is>
      </c>
    </row>
    <row r="40" ht="36" customHeight="1">
      <c r="A40" s="10" t="inlineStr">
        <is>
          <t>30</t>
        </is>
      </c>
      <c r="B40" s="11" t="inlineStr">
        <is>
          <t>Navigation</t>
        </is>
      </c>
      <c r="C40" s="11" t="inlineStr">
        <is>
          <t>Fix spelling in the left navigation menu — 'CASE MANGEMENT' should be 'CASE MANAGEMENT'. This appears on every screen.</t>
        </is>
      </c>
      <c r="D40" s="15" t="inlineStr">
        <is>
          <t>Terminology</t>
        </is>
      </c>
      <c r="E40" s="10" t="inlineStr">
        <is>
          <t>Resolved</t>
        </is>
      </c>
      <c r="F40" s="10" t="inlineStr">
        <is>
          <t>1</t>
        </is>
      </c>
      <c r="G40" s="11" t="inlineStr">
        <is>
          <t>Resolved in round 1 — the menu reads 'CASE MANAGEMENT'.</t>
        </is>
      </c>
      <c r="H40" s="11" t="inlineStr">
        <is>
          <t>Left menu.</t>
        </is>
      </c>
    </row>
    <row r="41" ht="51" customHeight="1">
      <c r="A41" s="7" t="inlineStr">
        <is>
          <t>31</t>
        </is>
      </c>
      <c r="B41" s="8" t="inlineStr">
        <is>
          <t>Staff activity log</t>
        </is>
      </c>
      <c r="C41" s="8" t="inlineStr">
        <is>
          <t>The staff activity log shows technical system labels — 'Read UrgentEpisode', 'Read Guest'. Replace with plain English: 'Viewed urgent case', 'Opened guest record'. Also show the guest's name in each entry.</t>
        </is>
      </c>
      <c r="D41" s="15" t="inlineStr">
        <is>
          <t>Terminology</t>
        </is>
      </c>
      <c r="E41" s="7" t="inlineStr">
        <is>
          <t>Resolved</t>
        </is>
      </c>
      <c r="F41" s="7" t="inlineStr">
        <is>
          <t>1</t>
        </is>
      </c>
      <c r="G41" s="8" t="inlineStr">
        <is>
          <t>Resolved in round 1 — plain English ('Opened guest record', 'Viewed urgent case') with the guest's name, which opens the record.</t>
        </is>
      </c>
      <c r="H41" s="8" t="inlineStr">
        <is>
          <t>Hub Manager dashboard › Staff activity; a guest’s Access Log.</t>
        </is>
      </c>
    </row>
    <row r="42" hidden="1" ht="66" customHeight="1">
      <c r="A42" s="10" t="inlineStr">
        <is>
          <t>32</t>
        </is>
      </c>
      <c r="B42" s="11" t="inlineStr">
        <is>
          <t>Whole system</t>
        </is>
      </c>
      <c r="C42" s="11" t="inlineStr">
        <is>
          <t>Staff names are being cut off throughout the system — for example 'Gudrun Van...' and 'Kevin Cruicksha...'. Full names must be visible everywhere.</t>
        </is>
      </c>
      <c r="D42" s="15" t="inlineStr">
        <is>
          <t>Terminology</t>
        </is>
      </c>
      <c r="E42" s="7" t="inlineStr">
        <is>
          <t>Resolved</t>
        </is>
      </c>
      <c r="F42" s="10" t="inlineStr">
        <is>
          <t>1</t>
        </is>
      </c>
      <c r="G42" s="11" t="inlineStr">
        <is>
          <t>Resolved in round 1 for tables. Also now: the CMHW / assignee filters widen to show the selected name in full (Guests, Contact History, Contacts, Reports, dashboard lists), and the CMHW name under each Contact History row wraps instead of being cut off.</t>
        </is>
      </c>
      <c r="H42" s="11" t="inlineStr">
        <is>
          <t>Pick a CMHW with a long name in each filter.</t>
        </is>
      </c>
    </row>
    <row r="43" ht="36" customHeight="1">
      <c r="A43" s="10" t="n"/>
      <c r="B43" s="18" t="inlineStr">
        <is>
          <t xml:space="preserve">Guest dashboard </t>
        </is>
      </c>
      <c r="C43" s="18" t="inlineStr">
        <is>
          <t xml:space="preserve">Complete versus Incomplete on Profile Completion </t>
        </is>
      </c>
      <c r="D43" s="15" t="inlineStr">
        <is>
          <t>Terminology</t>
        </is>
      </c>
      <c r="E43" s="7" t="inlineStr">
        <is>
          <t>Resolved</t>
        </is>
      </c>
      <c r="F43" s="19" t="n"/>
      <c r="G43" s="18" t="inlineStr">
        <is>
          <t>Profile Completion now reads 'Complete' / 'Incomplete' (was Completed / Pending). The button to fill a section in reads 'Complete now'.</t>
        </is>
      </c>
      <c r="H43" s="18" t="inlineStr">
        <is>
          <t>Guest › Demographics › Profile completion card and the section headings.</t>
        </is>
      </c>
    </row>
    <row r="44" ht="28" customHeight="1">
      <c r="A44" s="12" t="inlineStr">
        <is>
          <t>MINOR</t>
        </is>
      </c>
    </row>
    <row r="45" ht="51" customHeight="1">
      <c r="A45" s="7" t="inlineStr">
        <is>
          <t>33</t>
        </is>
      </c>
      <c r="B45" s="8" t="inlineStr">
        <is>
          <t>Guest list</t>
        </is>
      </c>
      <c r="C45" s="8" t="inlineStr">
        <is>
          <t>The demographics filter panel opens behind the left navigation menu and is partly hidden. It must open in a position where the full panel is visible.</t>
        </is>
      </c>
      <c r="D45" s="13" t="inlineStr">
        <is>
          <t>Fix</t>
        </is>
      </c>
      <c r="E45" s="7" t="inlineStr">
        <is>
          <t>Resolved</t>
        </is>
      </c>
      <c r="F45" s="7" t="inlineStr">
        <is>
          <t>1</t>
        </is>
      </c>
      <c r="G45" s="8" t="inlineStr">
        <is>
          <t>The panel used to open leftwards from the button, so when the filter row wrapped it slid under the left menu and was cut off. It now opens on whichever side has room.</t>
        </is>
      </c>
      <c r="H45" s="8" t="inlineStr">
        <is>
          <t>Guests: narrow the window until the filters wrap, then open Demographics — the full panel is visible.</t>
        </is>
      </c>
    </row>
    <row r="46" ht="81" customHeight="1">
      <c r="A46" s="10" t="inlineStr">
        <is>
          <t>34</t>
        </is>
      </c>
      <c r="B46" s="11" t="inlineStr">
        <is>
          <t>Whole system</t>
        </is>
      </c>
      <c r="C46" s="11" t="inlineStr">
        <is>
          <t>Clear all test data before UAT — including 'My name is hamza' in urgent case notes and 'System Administrator' showing as a staff name throughout.</t>
        </is>
      </c>
      <c r="D46" s="14" t="inlineStr">
        <is>
          <t>Minor</t>
        </is>
      </c>
      <c r="E46" s="10" t="inlineStr">
        <is>
          <t>Open</t>
        </is>
      </c>
      <c r="F46" s="10" t="inlineStr">
        <is>
          <t>1</t>
        </is>
      </c>
      <c r="G46" s="11" t="inlineStr">
        <is>
          <t>Not done yet: this deletes data on the live system, so we need your go-ahead and a list of what counts as test data (e.g. test guests, the "My name is hamza" urgent case notes, test urgent cases). Separately, rename or retire the shared "System Administrator" account so it no longer appears as a staff name.</t>
        </is>
      </c>
      <c r="H46" s="11" t="inlineStr">
        <is>
          <t>After clean-up: no test guests or notes remain; no "System Administrator" in staff names.</t>
        </is>
      </c>
    </row>
  </sheetData>
  <mergeCells count="10">
    <mergeCell ref="A18:H18"/>
    <mergeCell ref="A26:H26"/>
    <mergeCell ref="A3:H3"/>
    <mergeCell ref="A30:H30"/>
    <mergeCell ref="A35:H35"/>
    <mergeCell ref="A7:H7"/>
    <mergeCell ref="A24:H24"/>
    <mergeCell ref="A16:H16"/>
    <mergeCell ref="A1:H1"/>
    <mergeCell ref="A23:H23"/>
  </mergeCells>
  <dataValidations count="2">
    <dataValidation sqref="D3:D201" showDropDown="0" showInputMessage="0" showErrorMessage="0" allowBlank="1" type="list">
      <formula1>"Must fix,Fix,Terminology,Minor"</formula1>
      <formula2>0</formula2>
    </dataValidation>
    <dataValidation sqref="E3:E201" showDropDown="0" showInputMessage="0" showErrorMessage="0" allowBlank="1" type="list">
      <formula1>"Open,In progress,Resolved"</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13"/>
  <sheetViews>
    <sheetView showGridLines="0" zoomScaleNormal="100" workbookViewId="0">
      <selection activeCell="A1" sqref="A1"/>
    </sheetView>
  </sheetViews>
  <sheetFormatPr baseColWidth="10" defaultColWidth="8.6640625" defaultRowHeight="15"/>
  <cols>
    <col width="20" customWidth="1" min="1" max="1"/>
    <col width="12" customWidth="1" min="2" max="2"/>
  </cols>
  <sheetData>
    <row r="1" ht="25.5" customHeight="1">
      <c r="A1" s="1" t="inlineStr">
        <is>
          <t>Summary</t>
        </is>
      </c>
    </row>
    <row r="2" ht="21.75" customHeight="1">
      <c r="A2" s="11" t="inlineStr">
        <is>
          <t>Total items</t>
        </is>
      </c>
      <c r="B2" s="16">
        <f>COUNTA(Feedback!A:A)-2</f>
        <v/>
      </c>
    </row>
    <row r="3" ht="21.75" customHeight="1">
      <c r="A3" s="8" t="inlineStr">
        <is>
          <t>Must fix</t>
        </is>
      </c>
      <c r="B3" s="17">
        <f>COUNTIF(Feedback!D:D,"Must fix")</f>
        <v/>
      </c>
    </row>
    <row r="4" ht="21.75" customHeight="1">
      <c r="A4" s="11" t="inlineStr">
        <is>
          <t>Fix</t>
        </is>
      </c>
      <c r="B4" s="16">
        <f>COUNTIF(Feedback!D:D,"Fix")</f>
        <v/>
      </c>
    </row>
    <row r="5" ht="21.75" customHeight="1">
      <c r="A5" s="8" t="inlineStr">
        <is>
          <t>Terminology</t>
        </is>
      </c>
      <c r="B5" s="17">
        <f>COUNTIF(Feedback!D:D,"Terminology")</f>
        <v/>
      </c>
    </row>
    <row r="6" ht="21.75" customHeight="1">
      <c r="A6" s="11" t="inlineStr">
        <is>
          <t>Minor</t>
        </is>
      </c>
      <c r="B6" s="16">
        <f>COUNTIF(Feedback!D:D,"Minor")</f>
        <v/>
      </c>
    </row>
    <row r="7" ht="21.75" customHeight="1"/>
    <row r="8" ht="21.75" customHeight="1">
      <c r="A8" s="11" t="inlineStr">
        <is>
          <t>Open</t>
        </is>
      </c>
      <c r="B8" s="16">
        <f>COUNTIF(Feedback!E:E,"Open")</f>
        <v/>
      </c>
    </row>
    <row r="9" ht="21.75" customHeight="1">
      <c r="A9" s="8" t="inlineStr">
        <is>
          <t>In progress</t>
        </is>
      </c>
      <c r="B9" s="17">
        <f>COUNTIF(Feedback!E:E,"In progress")</f>
        <v/>
      </c>
    </row>
    <row r="10" ht="21.75" customHeight="1">
      <c r="A10" s="11" t="inlineStr">
        <is>
          <t>Resolved</t>
        </is>
      </c>
      <c r="B10" s="16">
        <f>COUNTIF(Feedback!E:E,"Resolved")</f>
        <v/>
      </c>
    </row>
    <row r="11" ht="21.75" customHeight="1"/>
    <row r="12" ht="21.75" customHeight="1">
      <c r="A12" s="11" t="inlineStr">
        <is>
          <t>Session 1 items</t>
        </is>
      </c>
      <c r="B12" s="16">
        <f>COUNTIF(Feedback!F:F,"1")</f>
        <v/>
      </c>
    </row>
    <row r="13" ht="21.75" customHeight="1">
      <c r="A13" s="8" t="inlineStr">
        <is>
          <t>Session 2 items</t>
        </is>
      </c>
      <c r="B13" s="17">
        <f>COUNTIF(Feedback!F:F,"2")</f>
        <v/>
      </c>
    </row>
  </sheetData>
  <mergeCells count="1">
    <mergeCell ref="A1:B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2026-10-07T15:09:14Z</dcterms:created>
  <dcterms:modified xmlns:dcterms="http://purl.org/dc/terms/" xmlns:xsi="http://www.w3.org/2001/XMLSchema-instance" xsi:type="dcterms:W3CDTF">2026-10-07T18:48:18Z</dcterms:modified>
  <cp:lastModifiedBy>Ruvimbo Chiswo</cp:lastModifiedBy>
  <cp:revision>0</cp:revision>
</cp:coreProperties>
</file>