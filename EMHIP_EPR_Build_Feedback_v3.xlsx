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uvimbochiswo/Desktop/"/>
    </mc:Choice>
  </mc:AlternateContent>
  <xr:revisionPtr revIDLastSave="0" documentId="8_{926FC266-1D7B-0744-ABF4-5C4F3A6CD563}" xr6:coauthVersionLast="47" xr6:coauthVersionMax="47" xr10:uidLastSave="{00000000-0000-0000-0000-000000000000}"/>
  <bookViews>
    <workbookView xWindow="0" yWindow="0" windowWidth="28800" windowHeight="18000" tabRatio="500" xr2:uid="{00000000-000D-0000-FFFF-FFFF00000000}"/>
  </bookViews>
  <sheets>
    <sheet name="Feedback"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 l="1"/>
  <c r="B12" i="2"/>
  <c r="B10" i="2"/>
  <c r="B9" i="2"/>
  <c r="B8" i="2"/>
  <c r="B6" i="2"/>
  <c r="B5" i="2"/>
  <c r="B4" i="2"/>
  <c r="B3" i="2"/>
  <c r="B2" i="2"/>
</calcChain>
</file>

<file path=xl/sharedStrings.xml><?xml version="1.0" encoding="utf-8"?>
<sst xmlns="http://schemas.openxmlformats.org/spreadsheetml/2006/main" count="235" uniqueCount="115">
  <si>
    <t>EMHIP EPR — Build Feedback · Updated 07 October 2026</t>
  </si>
  <si>
    <t>#</t>
  </si>
  <si>
    <t>Section</t>
  </si>
  <si>
    <t>Issue</t>
  </si>
  <si>
    <t>Priority</t>
  </si>
  <si>
    <t>Status</t>
  </si>
  <si>
    <t>Session</t>
  </si>
  <si>
    <t>MUST FIX FIRST — resolve before any further testing</t>
  </si>
  <si>
    <t>1</t>
  </si>
  <si>
    <t>Guest list</t>
  </si>
  <si>
    <t>Clicking on a guest in the guest list does not open their profile. This must work — it is the main way staff access a guest record.</t>
  </si>
  <si>
    <t>Must fix</t>
  </si>
  <si>
    <t>Open</t>
  </si>
  <si>
    <t>2</t>
  </si>
  <si>
    <t>Urgent cases</t>
  </si>
  <si>
    <t>Clicking on an urgent case in the Urgent Cases dashboard does not open the case. This must work — staff need to be able to open and act on urgent cases.</t>
  </si>
  <si>
    <t>3</t>
  </si>
  <si>
    <t>Dashboard</t>
  </si>
  <si>
    <t>Numbers on the dashboard are not clickable. Each number that represents a group of guests should open a list of those guests when clicked. For example: clicking the Urgent Cases number opens the urgent cases list; clicking SMI shows all guests with SMI recorded; clicking a CMHW's row shows their guest list; clicking a data quality issue shows the guests affected by it.</t>
  </si>
  <si>
    <t>4</t>
  </si>
  <si>
    <t>Pathways</t>
  </si>
  <si>
    <t>The pathway options shown throughout the system are wrong. They are currently showing AFA service types (Housing Advice, Food Essentials, Immigration &amp; Legal Advice etc.) instead of the actual pathways. The correct pathway options are: Mental Wellbeing, Clinical Support, Community Recovery, and AFA. This needs to be fixed in the database, not just the display.</t>
  </si>
  <si>
    <t>URGENT CASES</t>
  </si>
  <si>
    <t>5</t>
  </si>
  <si>
    <t>Urgent cases — whole flow</t>
  </si>
  <si>
    <t>The urgent case feature uses three different names in different places: 'Urgent Flag' when raising it, 'Urgent Case' on the dashboard, and 'Crisis Episode' on the record. Change everything to say 'Urgent Case' throughout the system.</t>
  </si>
  <si>
    <t>Fix</t>
  </si>
  <si>
    <t>6</t>
  </si>
  <si>
    <t>Urgent cases — raise flag form</t>
  </si>
  <si>
    <t>On the form to raise an urgent case, add an 'Other' option to the list of risk types. When staff select 'Other', show a text box so they can describe the risk.</t>
  </si>
  <si>
    <t>7</t>
  </si>
  <si>
    <t>On the form to raise an urgent case, make the notes field compulsory. Staff must not be able to submit the form without filling in the notes — a risk flag with no notes is not acceptable.</t>
  </si>
  <si>
    <t>8</t>
  </si>
  <si>
    <t>Urgent cases — dashboard</t>
  </si>
  <si>
    <t>On the Urgent Cases dashboard, clicking a case currently opens a small popup box. Remove this popup. The two buttons already shown on each case row — 'Open Guest' and 'View Urgent Case Record' — are enough.</t>
  </si>
  <si>
    <t>9</t>
  </si>
  <si>
    <t>Rename the 'View Crisis Episode' button to 'View Urgent Case Record'.</t>
  </si>
  <si>
    <t>10</t>
  </si>
  <si>
    <t>Urgent cases — record</t>
  </si>
  <si>
    <t>The Urgent Case Record shows 'Flag raised by: System Administrator'. This must show the actual name of the staff member who raised the flag, taken automatically from their login.</t>
  </si>
  <si>
    <t>11</t>
  </si>
  <si>
    <t>Remove the 'Escalate to CMHT' button. EMHIP does not have a system connection to CMHT so this button does nothing. Replace it with a simple text field where staff can record whether they contacted CMHT, who they spoke to, when, and what was said.</t>
  </si>
  <si>
    <t>12</t>
  </si>
  <si>
    <t>The notes section on the Urgent Case Record is called 'Crisis action notes'. Rename it to 'Urgent case notes'.</t>
  </si>
  <si>
    <t>13</t>
  </si>
  <si>
    <t>The tabs at the top of the Urgent Case Record are labelled 'Episode 1', 'Episode 2'. Change these to 'Urgent Case 1', 'Urgent Case 2'.</t>
  </si>
  <si>
    <t>Minor</t>
  </si>
  <si>
    <t>CLINICAL DETAILS</t>
  </si>
  <si>
    <t>14</t>
  </si>
  <si>
    <t>Guest workspace — Clinical Details</t>
  </si>
  <si>
    <t>Remove the risk assessment checkboxes and 'Save assessment' button from the Clinical Details tab. Staff raise urgent cases using the 'Raise Urgent Flag' button instead. Having it in two places is confusing, and using the version on this tab will not start the 72-hour clock.</t>
  </si>
  <si>
    <t>15</t>
  </si>
  <si>
    <t>Keep the 'Immediate risk flag' field on the Clinical Details tab but make it read-only. It should automatically show whether an urgent flag has been raised for this guest and when. Staff should not be able to edit it from this tab.</t>
  </si>
  <si>
    <t>CONTACT LOGGING</t>
  </si>
  <si>
    <t>16</t>
  </si>
  <si>
    <t>Guest workspace — Contact History</t>
  </si>
  <si>
    <t>The Contact History tab shows how staff contacted the guest (Phone Call, Text Message, Email etc.) but it should show what type of contact it was (Casework, Activity, Hospitality, AFA) — which is what staff select when they log a contact. The contact method can appear as smaller detail underneath the type.</t>
  </si>
  <si>
    <t>17</t>
  </si>
  <si>
    <t>Staff cannot open individual contact entries to read the notes. Each contact entry must be clickable so staff can read the full note written at that contact.</t>
  </si>
  <si>
    <t>18</t>
  </si>
  <si>
    <t>Add filters to the Contact History tab so staff can filter by contact type (Casework, Activity, Hospitality, AFA) and by date range.</t>
  </si>
  <si>
    <t>19</t>
  </si>
  <si>
    <t>Add a separate 'Casework Notes' tab to the guest record that shows only casework entries in date order. Casework notes are the clinical record — staff need to find them quickly without scrolling through phone calls and activity entries. The full Contact History tab stays as it is.</t>
  </si>
  <si>
    <t>20</t>
  </si>
  <si>
    <t>Guest workspace — Add Contact</t>
  </si>
  <si>
    <t>The date on the Add Contact form displays as 2026/10/07. Change to UK date format: 07/10/2026.</t>
  </si>
  <si>
    <t>CARE PLAN</t>
  </si>
  <si>
    <t>21</t>
  </si>
  <si>
    <t>Guest workspace — Care Plan</t>
  </si>
  <si>
    <t>The status labels on care plans (Active, Closed) are grey. Make these match the coloured labels used elsewhere in the system.</t>
  </si>
  <si>
    <t>DOCUMENTS</t>
  </si>
  <si>
    <t>22</t>
  </si>
  <si>
    <t>Documents</t>
  </si>
  <si>
    <t>Remove Documents as a standalone menu item. Documents should only be accessible from within a guest's profile, where the link to that guest is automatic. The current setup allows documents to be uploaded with no guest attached, which is a records risk.</t>
  </si>
  <si>
    <t>23</t>
  </si>
  <si>
    <t>Confirm how long deleted documents are kept in the recycle bin before being permanently removed. This must meet the NHS minimum of 8 years for mental health records.</t>
  </si>
  <si>
    <t>REPORTS</t>
  </si>
  <si>
    <t>24</t>
  </si>
  <si>
    <t>Reports</t>
  </si>
  <si>
    <t>Add the ability to filter DIALOG scores by ethnicity — for example, to see DIALOG score changes specifically for Black African guests. This is needed to show whether the programme is improving outcomes for ethnic minority communities.</t>
  </si>
  <si>
    <t>25</t>
  </si>
  <si>
    <t>Add demographics and referral sources to the Excel export. These are needed for every delivery group report and are currently not included.</t>
  </si>
  <si>
    <t>26</t>
  </si>
  <si>
    <t>The reports tab bar has more tabs than are visible on screen but there is nothing to show this. Add scroll arrows or another clear indicator so staff know more tabs exist.</t>
  </si>
  <si>
    <t>27</t>
  </si>
  <si>
    <t>Contact History — tiles</t>
  </si>
  <si>
    <t>The AFA &amp; Hospitality tile shows '0 CPN sessions' underneath it. CPN sessions are not related to AFA or Hospitality. Remove CPN sessions from this tile — CPN activity should have its own section.</t>
  </si>
  <si>
    <t>TERMINOLOGY</t>
  </si>
  <si>
    <t>28</t>
  </si>
  <si>
    <t>Whole system</t>
  </si>
  <si>
    <t>Change 'On hold' to 'Inactive' everywhere — in status labels, dashboard tiles, and reports.</t>
  </si>
  <si>
    <t>Terminology</t>
  </si>
  <si>
    <t>29</t>
  </si>
  <si>
    <t>Change 'Follow-up' to 'Contact' everywhere — Contact History, Add Contact, contact activity totals.</t>
  </si>
  <si>
    <t>30</t>
  </si>
  <si>
    <t>Navigation</t>
  </si>
  <si>
    <t>Fix spelling in the left navigation menu — 'CASE MANGEMENT' should be 'CASE MANAGEMENT'. This appears on every screen.</t>
  </si>
  <si>
    <t>31</t>
  </si>
  <si>
    <t>Staff activity log</t>
  </si>
  <si>
    <t>The staff activity log shows technical system labels — 'Read UrgentEpisode', 'Read Guest'. Replace with plain English: 'Viewed urgent case', 'Opened guest record'. Also show the guest's name in each entry.</t>
  </si>
  <si>
    <t>32</t>
  </si>
  <si>
    <t>Staff names are being cut off throughout the system — for example 'Gudrun Van...' and 'Kevin Cruicksha...'. Full names must be visible everywhere.</t>
  </si>
  <si>
    <t>MINOR</t>
  </si>
  <si>
    <t>33</t>
  </si>
  <si>
    <t>The demographics filter panel opens behind the left navigation menu and is partly hidden. It must open in a position where the full panel is visible.</t>
  </si>
  <si>
    <t>34</t>
  </si>
  <si>
    <t>Clear all test data before UAT — including 'My name is hamza' in urgent case notes and 'System Administrator' showing as a staff name throughout.</t>
  </si>
  <si>
    <t>Summary</t>
  </si>
  <si>
    <t>Total items</t>
  </si>
  <si>
    <t>In progress</t>
  </si>
  <si>
    <t>Resolved</t>
  </si>
  <si>
    <t>Session 1 items</t>
  </si>
  <si>
    <t>Session 2 items</t>
  </si>
  <si>
    <t xml:space="preserve">Complete versus Incomplete on Profile Completion </t>
  </si>
  <si>
    <t xml:space="preserve">Guest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</si>
</sst>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2"/>
      <color rgb="FFFFFFFF"/>
      <name val="Arial"/>
      <family val="2"/>
    </font>
    <font>
      <b/>
      <sz val="10"/>
      <color rgb="FFFFFFFF"/>
      <name val="Arial"/>
      <family val="2"/>
    </font>
    <font>
      <sz val="10"/>
      <color rgb="FF2C2C2A"/>
      <name val="Arial"/>
      <family val="2"/>
    </font>
    <font>
      <b/>
      <sz val="10"/>
      <color rgb="FFA32D2D"/>
      <name val="Arial"/>
      <family val="2"/>
    </font>
    <font>
      <b/>
      <sz val="10"/>
      <color rgb="FF854F0B"/>
      <name val="Arial"/>
      <family val="2"/>
    </font>
    <font>
      <b/>
      <sz val="10"/>
      <color rgb="FF5F5E5A"/>
      <name val="Arial"/>
      <family val="2"/>
    </font>
    <font>
      <b/>
      <sz val="10"/>
      <color rgb="FF185FA5"/>
      <name val="Arial"/>
      <family val="2"/>
    </font>
    <font>
      <b/>
      <sz val="11"/>
      <color rgb="FFFFFFFF"/>
      <name val="Arial"/>
      <family val="2"/>
    </font>
    <font>
      <b/>
      <sz val="10"/>
      <color rgb="FF2C2C2A"/>
      <name val="Arial"/>
      <family val="2"/>
    </font>
  </fonts>
  <fills count="10">
    <fill>
      <patternFill patternType="none"/>
    </fill>
    <fill>
      <patternFill patternType="gray125"/>
    </fill>
    <fill>
      <patternFill patternType="solid">
        <fgColor rgb="FFB01C2E"/>
        <bgColor rgb="FFA32D2D"/>
      </patternFill>
    </fill>
    <fill>
      <patternFill patternType="solid">
        <fgColor rgb="FF2C2C2A"/>
        <bgColor rgb="FF333300"/>
      </patternFill>
    </fill>
    <fill>
      <patternFill patternType="solid">
        <fgColor rgb="FFFFFFFF"/>
        <bgColor rgb="FFF9F8F6"/>
      </patternFill>
    </fill>
    <fill>
      <patternFill patternType="solid">
        <fgColor rgb="FFFCEBEB"/>
        <bgColor rgb="FFFAEEDA"/>
      </patternFill>
    </fill>
    <fill>
      <patternFill patternType="solid">
        <fgColor rgb="FFF9F8F6"/>
        <bgColor rgb="FFFFFFFF"/>
      </patternFill>
    </fill>
    <fill>
      <patternFill patternType="solid">
        <fgColor rgb="FFFAEEDA"/>
        <bgColor rgb="FFFCEBEB"/>
      </patternFill>
    </fill>
    <fill>
      <patternFill patternType="solid">
        <fgColor rgb="FFF1EFE8"/>
        <bgColor rgb="FFFAEEDA"/>
      </patternFill>
    </fill>
    <fill>
      <patternFill patternType="solid">
        <fgColor rgb="FFEDF4FC"/>
        <bgColor rgb="FFF9F8F6"/>
      </patternFill>
    </fill>
  </fills>
  <borders count="3">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s>
  <cellStyleXfs count="1">
    <xf numFmtId="0" fontId="0" fillId="0" borderId="0"/>
  </cellStyleXfs>
  <cellXfs count="20">
    <xf numFmtId="0" fontId="0" fillId="0" borderId="0" xfId="0"/>
    <xf numFmtId="0" fontId="8"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6" borderId="0" xfId="0" applyFont="1" applyFill="1" applyBorder="1" applyAlignment="1">
      <alignment horizontal="left" vertical="center" wrapText="1"/>
    </xf>
    <xf numFmtId="0" fontId="3" fillId="6"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54F0B"/>
      <rgbColor rgb="FF800080"/>
      <rgbColor rgb="FF008080"/>
      <rgbColor rgb="FFD3D1C7"/>
      <rgbColor rgb="FF808080"/>
      <rgbColor rgb="FF9999FF"/>
      <rgbColor rgb="FFB01C2E"/>
      <rgbColor rgb="FFFAEEDA"/>
      <rgbColor rgb="FFEDF4FC"/>
      <rgbColor rgb="FF660066"/>
      <rgbColor rgb="FFFF8080"/>
      <rgbColor rgb="FF185FA5"/>
      <rgbColor rgb="FFCCCCFF"/>
      <rgbColor rgb="FF000080"/>
      <rgbColor rgb="FFFF00FF"/>
      <rgbColor rgb="FFFFFF00"/>
      <rgbColor rgb="FF00FFFF"/>
      <rgbColor rgb="FF800080"/>
      <rgbColor rgb="FF800000"/>
      <rgbColor rgb="FF008080"/>
      <rgbColor rgb="FF0000FF"/>
      <rgbColor rgb="FF00CCFF"/>
      <rgbColor rgb="FFF1EFE8"/>
      <rgbColor rgb="FFF9F8F6"/>
      <rgbColor rgb="FFFCEBEB"/>
      <rgbColor rgb="FF99CCFF"/>
      <rgbColor rgb="FFFF99CC"/>
      <rgbColor rgb="FFCC99FF"/>
      <rgbColor rgb="FFFFCC99"/>
      <rgbColor rgb="FF3366FF"/>
      <rgbColor rgb="FF33CCCC"/>
      <rgbColor rgb="FF99CC00"/>
      <rgbColor rgb="FFFFCC00"/>
      <rgbColor rgb="FFFF9900"/>
      <rgbColor rgb="FFFF6600"/>
      <rgbColor rgb="FF5F5E5A"/>
      <rgbColor rgb="FF969696"/>
      <rgbColor rgb="FF003366"/>
      <rgbColor rgb="FF339966"/>
      <rgbColor rgb="FF003300"/>
      <rgbColor rgb="FF333300"/>
      <rgbColor rgb="FFA32D2D"/>
      <rgbColor rgb="FF993366"/>
      <rgbColor rgb="FF33339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showGridLines="0" tabSelected="1" zoomScale="116" zoomScaleNormal="100" workbookViewId="0">
      <pane ySplit="2" topLeftCell="A3" activePane="bottomLeft" state="frozen"/>
      <selection pane="bottomLeft" activeCell="E28" sqref="E28"/>
    </sheetView>
  </sheetViews>
  <sheetFormatPr baseColWidth="10" defaultColWidth="8.6640625" defaultRowHeight="15" x14ac:dyDescent="0.2"/>
  <cols>
    <col min="1" max="1" width="5" customWidth="1"/>
    <col min="2" max="2" width="20" customWidth="1"/>
    <col min="3" max="3" width="72" customWidth="1"/>
    <col min="4" max="4" width="13" customWidth="1"/>
    <col min="5" max="5" width="15" customWidth="1"/>
    <col min="6" max="6" width="12" customWidth="1"/>
  </cols>
  <sheetData>
    <row r="1" spans="1:6" ht="27.75" customHeight="1" x14ac:dyDescent="0.2">
      <c r="A1" s="5" t="s">
        <v>0</v>
      </c>
      <c r="B1" s="5"/>
      <c r="C1" s="5"/>
      <c r="D1" s="5"/>
      <c r="E1" s="5"/>
      <c r="F1" s="5"/>
    </row>
    <row r="2" spans="1:6" ht="24" customHeight="1" x14ac:dyDescent="0.2">
      <c r="A2" s="6" t="s">
        <v>1</v>
      </c>
      <c r="B2" s="6" t="s">
        <v>2</v>
      </c>
      <c r="C2" s="6" t="s">
        <v>3</v>
      </c>
      <c r="D2" s="6" t="s">
        <v>4</v>
      </c>
      <c r="E2" s="6" t="s">
        <v>5</v>
      </c>
      <c r="F2" s="6" t="s">
        <v>6</v>
      </c>
    </row>
    <row r="3" spans="1:6" ht="19.5" customHeight="1" x14ac:dyDescent="0.2">
      <c r="A3" s="4" t="s">
        <v>7</v>
      </c>
      <c r="B3" s="4"/>
      <c r="C3" s="4"/>
      <c r="D3" s="4"/>
      <c r="E3" s="4"/>
      <c r="F3" s="4"/>
    </row>
    <row r="4" spans="1:6" ht="49.5" customHeight="1" x14ac:dyDescent="0.2">
      <c r="A4" s="7" t="s">
        <v>8</v>
      </c>
      <c r="B4" s="8" t="s">
        <v>9</v>
      </c>
      <c r="C4" s="8" t="s">
        <v>10</v>
      </c>
      <c r="D4" s="9" t="s">
        <v>11</v>
      </c>
      <c r="E4" s="7" t="s">
        <v>110</v>
      </c>
      <c r="F4" s="7" t="s">
        <v>8</v>
      </c>
    </row>
    <row r="5" spans="1:6" ht="49.5" customHeight="1" x14ac:dyDescent="0.2">
      <c r="A5" s="10" t="s">
        <v>13</v>
      </c>
      <c r="B5" s="11" t="s">
        <v>14</v>
      </c>
      <c r="C5" s="11" t="s">
        <v>15</v>
      </c>
      <c r="D5" s="9" t="s">
        <v>11</v>
      </c>
      <c r="E5" s="10" t="s">
        <v>110</v>
      </c>
      <c r="F5" s="10" t="s">
        <v>8</v>
      </c>
    </row>
    <row r="6" spans="1:6" ht="49.5" customHeight="1" x14ac:dyDescent="0.2">
      <c r="A6" s="7" t="s">
        <v>16</v>
      </c>
      <c r="B6" s="8" t="s">
        <v>17</v>
      </c>
      <c r="C6" s="8" t="s">
        <v>18</v>
      </c>
      <c r="D6" s="9" t="s">
        <v>11</v>
      </c>
      <c r="E6" s="7" t="s">
        <v>110</v>
      </c>
      <c r="F6" s="7" t="s">
        <v>8</v>
      </c>
    </row>
    <row r="7" spans="1:6" ht="19.5" customHeight="1" x14ac:dyDescent="0.2">
      <c r="A7" s="3" t="s">
        <v>19</v>
      </c>
      <c r="B7" s="3" t="s">
        <v>20</v>
      </c>
      <c r="C7" s="3" t="s">
        <v>21</v>
      </c>
      <c r="D7" s="3" t="s">
        <v>11</v>
      </c>
      <c r="E7" s="3" t="s">
        <v>12</v>
      </c>
      <c r="F7" s="3" t="s">
        <v>8</v>
      </c>
    </row>
    <row r="8" spans="1:6" ht="49.5" customHeight="1" x14ac:dyDescent="0.2">
      <c r="A8" s="12" t="s">
        <v>22</v>
      </c>
    </row>
    <row r="9" spans="1:6" ht="49.5" customHeight="1" x14ac:dyDescent="0.2">
      <c r="A9" s="7" t="s">
        <v>23</v>
      </c>
      <c r="B9" s="8" t="s">
        <v>24</v>
      </c>
      <c r="C9" s="8" t="s">
        <v>25</v>
      </c>
      <c r="D9" s="13" t="s">
        <v>26</v>
      </c>
      <c r="E9" s="7" t="s">
        <v>12</v>
      </c>
      <c r="F9" s="7" t="s">
        <v>13</v>
      </c>
    </row>
    <row r="10" spans="1:6" ht="49.5" customHeight="1" x14ac:dyDescent="0.2">
      <c r="A10" s="10" t="s">
        <v>27</v>
      </c>
      <c r="B10" s="11" t="s">
        <v>28</v>
      </c>
      <c r="C10" s="11" t="s">
        <v>29</v>
      </c>
      <c r="D10" s="13" t="s">
        <v>26</v>
      </c>
      <c r="E10" s="10" t="s">
        <v>12</v>
      </c>
      <c r="F10" s="10" t="s">
        <v>13</v>
      </c>
    </row>
    <row r="11" spans="1:6" ht="49.5" customHeight="1" x14ac:dyDescent="0.2">
      <c r="A11" s="7" t="s">
        <v>30</v>
      </c>
      <c r="B11" s="8" t="s">
        <v>28</v>
      </c>
      <c r="C11" s="8" t="s">
        <v>31</v>
      </c>
      <c r="D11" s="13" t="s">
        <v>26</v>
      </c>
      <c r="E11" s="7" t="s">
        <v>12</v>
      </c>
      <c r="F11" s="7" t="s">
        <v>13</v>
      </c>
    </row>
    <row r="12" spans="1:6" ht="49.5" customHeight="1" x14ac:dyDescent="0.2">
      <c r="A12" s="10" t="s">
        <v>32</v>
      </c>
      <c r="B12" s="11" t="s">
        <v>33</v>
      </c>
      <c r="C12" s="11" t="s">
        <v>34</v>
      </c>
      <c r="D12" s="13" t="s">
        <v>26</v>
      </c>
      <c r="E12" s="10" t="s">
        <v>12</v>
      </c>
      <c r="F12" s="10" t="s">
        <v>13</v>
      </c>
    </row>
    <row r="13" spans="1:6" ht="49.5" customHeight="1" x14ac:dyDescent="0.2">
      <c r="A13" s="7" t="s">
        <v>35</v>
      </c>
      <c r="B13" s="8" t="s">
        <v>33</v>
      </c>
      <c r="C13" s="8" t="s">
        <v>36</v>
      </c>
      <c r="D13" s="13" t="s">
        <v>26</v>
      </c>
      <c r="E13" s="7" t="s">
        <v>12</v>
      </c>
      <c r="F13" s="7" t="s">
        <v>13</v>
      </c>
    </row>
    <row r="14" spans="1:6" ht="49.5" customHeight="1" x14ac:dyDescent="0.2">
      <c r="A14" s="10" t="s">
        <v>37</v>
      </c>
      <c r="B14" s="11" t="s">
        <v>38</v>
      </c>
      <c r="C14" s="11" t="s">
        <v>39</v>
      </c>
      <c r="D14" s="13" t="s">
        <v>26</v>
      </c>
      <c r="E14" s="10" t="s">
        <v>12</v>
      </c>
      <c r="F14" s="10" t="s">
        <v>13</v>
      </c>
    </row>
    <row r="15" spans="1:6" ht="49.5" customHeight="1" x14ac:dyDescent="0.2">
      <c r="A15" s="7" t="s">
        <v>40</v>
      </c>
      <c r="B15" s="8" t="s">
        <v>38</v>
      </c>
      <c r="C15" s="8" t="s">
        <v>41</v>
      </c>
      <c r="D15" s="13" t="s">
        <v>26</v>
      </c>
      <c r="E15" s="7" t="s">
        <v>12</v>
      </c>
      <c r="F15" s="7" t="s">
        <v>13</v>
      </c>
    </row>
    <row r="16" spans="1:6" ht="19.5" customHeight="1" x14ac:dyDescent="0.2">
      <c r="A16" s="3" t="s">
        <v>42</v>
      </c>
      <c r="B16" s="3" t="s">
        <v>38</v>
      </c>
      <c r="C16" s="3" t="s">
        <v>43</v>
      </c>
      <c r="D16" s="3" t="s">
        <v>26</v>
      </c>
      <c r="E16" s="3" t="s">
        <v>12</v>
      </c>
      <c r="F16" s="3" t="s">
        <v>13</v>
      </c>
    </row>
    <row r="17" spans="1:6" ht="49.5" customHeight="1" x14ac:dyDescent="0.2">
      <c r="A17" s="7" t="s">
        <v>44</v>
      </c>
      <c r="B17" s="8" t="s">
        <v>38</v>
      </c>
      <c r="C17" s="8" t="s">
        <v>45</v>
      </c>
      <c r="D17" s="14" t="s">
        <v>46</v>
      </c>
      <c r="E17" s="7" t="s">
        <v>12</v>
      </c>
      <c r="F17" s="7" t="s">
        <v>13</v>
      </c>
    </row>
    <row r="18" spans="1:6" ht="19.5" customHeight="1" x14ac:dyDescent="0.2">
      <c r="A18" s="4" t="s">
        <v>47</v>
      </c>
      <c r="B18" s="4"/>
      <c r="C18" s="4"/>
      <c r="D18" s="4"/>
      <c r="E18" s="4"/>
      <c r="F18" s="4"/>
    </row>
    <row r="19" spans="1:6" ht="49.5" customHeight="1" x14ac:dyDescent="0.2">
      <c r="A19" s="10" t="s">
        <v>48</v>
      </c>
      <c r="B19" s="11" t="s">
        <v>49</v>
      </c>
      <c r="C19" s="11" t="s">
        <v>50</v>
      </c>
      <c r="D19" s="13" t="s">
        <v>26</v>
      </c>
      <c r="E19" s="10" t="s">
        <v>12</v>
      </c>
      <c r="F19" s="10" t="s">
        <v>13</v>
      </c>
    </row>
    <row r="20" spans="1:6" ht="49.5" customHeight="1" x14ac:dyDescent="0.2">
      <c r="A20" s="7" t="s">
        <v>51</v>
      </c>
      <c r="B20" s="8" t="s">
        <v>49</v>
      </c>
      <c r="C20" s="8" t="s">
        <v>52</v>
      </c>
      <c r="D20" s="13" t="s">
        <v>26</v>
      </c>
      <c r="E20" s="7" t="s">
        <v>12</v>
      </c>
      <c r="F20" s="7" t="s">
        <v>13</v>
      </c>
    </row>
    <row r="21" spans="1:6" ht="49.5" customHeight="1" x14ac:dyDescent="0.2">
      <c r="A21" s="12" t="s">
        <v>53</v>
      </c>
    </row>
    <row r="22" spans="1:6" ht="49.5" customHeight="1" x14ac:dyDescent="0.2">
      <c r="A22" s="10" t="s">
        <v>54</v>
      </c>
      <c r="B22" s="11" t="s">
        <v>55</v>
      </c>
      <c r="C22" s="11" t="s">
        <v>56</v>
      </c>
      <c r="D22" s="13" t="s">
        <v>26</v>
      </c>
      <c r="E22" s="10" t="s">
        <v>12</v>
      </c>
      <c r="F22" s="10" t="s">
        <v>13</v>
      </c>
    </row>
    <row r="23" spans="1:6" ht="19.5" customHeight="1" x14ac:dyDescent="0.2">
      <c r="A23" s="2" t="s">
        <v>57</v>
      </c>
      <c r="B23" s="2" t="s">
        <v>55</v>
      </c>
      <c r="C23" s="2" t="s">
        <v>58</v>
      </c>
      <c r="D23" s="2" t="s">
        <v>26</v>
      </c>
      <c r="E23" s="2" t="s">
        <v>12</v>
      </c>
      <c r="F23" s="2" t="s">
        <v>13</v>
      </c>
    </row>
    <row r="24" spans="1:6" ht="19.5" customHeight="1" x14ac:dyDescent="0.2">
      <c r="A24" s="3" t="s">
        <v>59</v>
      </c>
      <c r="B24" s="3" t="s">
        <v>55</v>
      </c>
      <c r="C24" s="3" t="s">
        <v>60</v>
      </c>
      <c r="D24" s="3" t="s">
        <v>26</v>
      </c>
      <c r="E24" s="3" t="s">
        <v>12</v>
      </c>
      <c r="F24" s="3" t="s">
        <v>13</v>
      </c>
    </row>
    <row r="25" spans="1:6" ht="49.5" customHeight="1" x14ac:dyDescent="0.2">
      <c r="A25" s="7" t="s">
        <v>61</v>
      </c>
      <c r="B25" s="8" t="s">
        <v>55</v>
      </c>
      <c r="C25" s="8" t="s">
        <v>62</v>
      </c>
      <c r="D25" s="13" t="s">
        <v>26</v>
      </c>
      <c r="E25" s="7" t="s">
        <v>12</v>
      </c>
      <c r="F25" s="7" t="s">
        <v>13</v>
      </c>
    </row>
    <row r="26" spans="1:6" ht="19.5" customHeight="1" x14ac:dyDescent="0.2">
      <c r="A26" s="3" t="s">
        <v>63</v>
      </c>
      <c r="B26" s="3" t="s">
        <v>64</v>
      </c>
      <c r="C26" s="3" t="s">
        <v>65</v>
      </c>
      <c r="D26" s="3" t="s">
        <v>46</v>
      </c>
      <c r="E26" s="3" t="s">
        <v>12</v>
      </c>
      <c r="F26" s="3" t="s">
        <v>13</v>
      </c>
    </row>
    <row r="27" spans="1:6" ht="49.5" customHeight="1" x14ac:dyDescent="0.2">
      <c r="A27" s="12" t="s">
        <v>66</v>
      </c>
    </row>
    <row r="28" spans="1:6" ht="49.5" customHeight="1" x14ac:dyDescent="0.2">
      <c r="A28" s="7" t="s">
        <v>67</v>
      </c>
      <c r="B28" s="8" t="s">
        <v>68</v>
      </c>
      <c r="C28" s="8" t="s">
        <v>69</v>
      </c>
      <c r="D28" s="14" t="s">
        <v>46</v>
      </c>
      <c r="E28" s="7" t="s">
        <v>12</v>
      </c>
      <c r="F28" s="7" t="s">
        <v>13</v>
      </c>
    </row>
    <row r="29" spans="1:6" ht="49.5" customHeight="1" x14ac:dyDescent="0.2">
      <c r="A29" s="12" t="s">
        <v>70</v>
      </c>
    </row>
    <row r="30" spans="1:6" ht="19.5" customHeight="1" x14ac:dyDescent="0.2">
      <c r="A30" s="3" t="s">
        <v>71</v>
      </c>
      <c r="B30" s="3" t="s">
        <v>72</v>
      </c>
      <c r="C30" s="3" t="s">
        <v>73</v>
      </c>
      <c r="D30" s="3" t="s">
        <v>26</v>
      </c>
      <c r="E30" s="3" t="s">
        <v>12</v>
      </c>
      <c r="F30" s="3" t="s">
        <v>8</v>
      </c>
    </row>
    <row r="31" spans="1:6" ht="49.5" customHeight="1" x14ac:dyDescent="0.2">
      <c r="A31" s="7" t="s">
        <v>74</v>
      </c>
      <c r="B31" s="8" t="s">
        <v>72</v>
      </c>
      <c r="C31" s="8" t="s">
        <v>75</v>
      </c>
      <c r="D31" s="13" t="s">
        <v>26</v>
      </c>
      <c r="E31" s="7" t="s">
        <v>12</v>
      </c>
      <c r="F31" s="7" t="s">
        <v>8</v>
      </c>
    </row>
    <row r="32" spans="1:6" ht="49.5" customHeight="1" x14ac:dyDescent="0.2">
      <c r="A32" s="12" t="s">
        <v>76</v>
      </c>
    </row>
    <row r="33" spans="1:6" ht="49.5" hidden="1" customHeight="1" x14ac:dyDescent="0.2">
      <c r="A33" s="10" t="s">
        <v>77</v>
      </c>
      <c r="B33" s="11" t="s">
        <v>78</v>
      </c>
      <c r="C33" s="11" t="s">
        <v>79</v>
      </c>
      <c r="D33" s="13" t="s">
        <v>26</v>
      </c>
      <c r="E33" s="10" t="s">
        <v>110</v>
      </c>
      <c r="F33" s="10" t="s">
        <v>8</v>
      </c>
    </row>
    <row r="34" spans="1:6" ht="49.5" hidden="1" customHeight="1" x14ac:dyDescent="0.2">
      <c r="A34" s="7" t="s">
        <v>80</v>
      </c>
      <c r="B34" s="8" t="s">
        <v>78</v>
      </c>
      <c r="C34" s="8" t="s">
        <v>81</v>
      </c>
      <c r="D34" s="13" t="s">
        <v>26</v>
      </c>
      <c r="E34" s="7" t="s">
        <v>12</v>
      </c>
      <c r="F34" s="7" t="s">
        <v>8</v>
      </c>
    </row>
    <row r="35" spans="1:6" ht="19.5" customHeight="1" x14ac:dyDescent="0.2">
      <c r="A35" s="3" t="s">
        <v>82</v>
      </c>
      <c r="B35" s="3" t="s">
        <v>78</v>
      </c>
      <c r="C35" s="3" t="s">
        <v>83</v>
      </c>
      <c r="D35" s="3" t="s">
        <v>26</v>
      </c>
      <c r="E35" s="3" t="s">
        <v>12</v>
      </c>
      <c r="F35" s="3" t="s">
        <v>8</v>
      </c>
    </row>
    <row r="36" spans="1:6" ht="49.5" customHeight="1" x14ac:dyDescent="0.2">
      <c r="A36" s="7" t="s">
        <v>84</v>
      </c>
      <c r="B36" s="8" t="s">
        <v>85</v>
      </c>
      <c r="C36" s="8" t="s">
        <v>86</v>
      </c>
      <c r="D36" s="13" t="s">
        <v>26</v>
      </c>
      <c r="E36" s="7" t="s">
        <v>12</v>
      </c>
      <c r="F36" s="7" t="s">
        <v>8</v>
      </c>
    </row>
    <row r="37" spans="1:6" ht="56" x14ac:dyDescent="0.2">
      <c r="A37" s="12" t="s">
        <v>87</v>
      </c>
    </row>
    <row r="38" spans="1:6" ht="28" x14ac:dyDescent="0.2">
      <c r="A38" s="10" t="s">
        <v>88</v>
      </c>
      <c r="B38" s="11" t="s">
        <v>89</v>
      </c>
      <c r="C38" s="11" t="s">
        <v>90</v>
      </c>
      <c r="D38" s="15" t="s">
        <v>91</v>
      </c>
      <c r="E38" s="10" t="s">
        <v>12</v>
      </c>
      <c r="F38" s="10" t="s">
        <v>8</v>
      </c>
    </row>
    <row r="39" spans="1:6" ht="28" x14ac:dyDescent="0.2">
      <c r="A39" s="7" t="s">
        <v>92</v>
      </c>
      <c r="B39" s="8" t="s">
        <v>89</v>
      </c>
      <c r="C39" s="8" t="s">
        <v>93</v>
      </c>
      <c r="D39" s="15" t="s">
        <v>91</v>
      </c>
      <c r="E39" s="7" t="s">
        <v>12</v>
      </c>
      <c r="F39" s="7" t="s">
        <v>8</v>
      </c>
    </row>
    <row r="40" spans="1:6" ht="28" x14ac:dyDescent="0.2">
      <c r="A40" s="10" t="s">
        <v>94</v>
      </c>
      <c r="B40" s="11" t="s">
        <v>95</v>
      </c>
      <c r="C40" s="11" t="s">
        <v>96</v>
      </c>
      <c r="D40" s="15" t="s">
        <v>91</v>
      </c>
      <c r="E40" s="10" t="s">
        <v>12</v>
      </c>
      <c r="F40" s="10" t="s">
        <v>8</v>
      </c>
    </row>
    <row r="41" spans="1:6" ht="42" x14ac:dyDescent="0.2">
      <c r="A41" s="7" t="s">
        <v>97</v>
      </c>
      <c r="B41" s="8" t="s">
        <v>98</v>
      </c>
      <c r="C41" s="8" t="s">
        <v>99</v>
      </c>
      <c r="D41" s="15" t="s">
        <v>91</v>
      </c>
      <c r="E41" s="7" t="s">
        <v>12</v>
      </c>
      <c r="F41" s="7" t="s">
        <v>8</v>
      </c>
    </row>
    <row r="42" spans="1:6" ht="28" hidden="1" x14ac:dyDescent="0.2">
      <c r="A42" s="10" t="s">
        <v>100</v>
      </c>
      <c r="B42" s="11" t="s">
        <v>89</v>
      </c>
      <c r="C42" s="11" t="s">
        <v>101</v>
      </c>
      <c r="D42" s="15" t="s">
        <v>91</v>
      </c>
      <c r="E42" s="7" t="s">
        <v>12</v>
      </c>
      <c r="F42" s="10" t="s">
        <v>8</v>
      </c>
    </row>
    <row r="43" spans="1:6" x14ac:dyDescent="0.2">
      <c r="A43" s="10"/>
      <c r="B43" s="18" t="s">
        <v>114</v>
      </c>
      <c r="C43" s="18" t="s">
        <v>113</v>
      </c>
      <c r="D43" s="15" t="s">
        <v>91</v>
      </c>
      <c r="E43" s="7" t="s">
        <v>12</v>
      </c>
      <c r="F43" s="19"/>
    </row>
    <row r="44" spans="1:6" ht="28" x14ac:dyDescent="0.2">
      <c r="A44" s="12" t="s">
        <v>102</v>
      </c>
    </row>
    <row r="45" spans="1:6" ht="28" x14ac:dyDescent="0.2">
      <c r="A45" s="7" t="s">
        <v>103</v>
      </c>
      <c r="B45" s="8" t="s">
        <v>9</v>
      </c>
      <c r="C45" s="8" t="s">
        <v>104</v>
      </c>
      <c r="D45" s="13" t="s">
        <v>26</v>
      </c>
      <c r="E45" s="7" t="s">
        <v>12</v>
      </c>
      <c r="F45" s="7" t="s">
        <v>8</v>
      </c>
    </row>
    <row r="46" spans="1:6" ht="28" x14ac:dyDescent="0.2">
      <c r="A46" s="10" t="s">
        <v>105</v>
      </c>
      <c r="B46" s="11" t="s">
        <v>89</v>
      </c>
      <c r="C46" s="11" t="s">
        <v>106</v>
      </c>
      <c r="D46" s="14" t="s">
        <v>46</v>
      </c>
      <c r="E46" s="10" t="s">
        <v>12</v>
      </c>
      <c r="F46" s="10" t="s">
        <v>8</v>
      </c>
    </row>
  </sheetData>
  <mergeCells count="10">
    <mergeCell ref="A23:F23"/>
    <mergeCell ref="A24:F24"/>
    <mergeCell ref="A26:F26"/>
    <mergeCell ref="A30:F30"/>
    <mergeCell ref="A35:F35"/>
    <mergeCell ref="A1:F1"/>
    <mergeCell ref="A3:F3"/>
    <mergeCell ref="A7:F7"/>
    <mergeCell ref="A16:F16"/>
    <mergeCell ref="A18:F18"/>
  </mergeCells>
  <dataValidations count="2">
    <dataValidation type="list" allowBlank="1" sqref="D3:D201" xr:uid="{00000000-0002-0000-0000-000000000000}">
      <formula1>"Must fix,Fix,Terminology,Minor"</formula1>
      <formula2>0</formula2>
    </dataValidation>
    <dataValidation type="list" allowBlank="1" sqref="E3:E201" xr:uid="{00000000-0002-0000-0000-000001000000}">
      <formula1>"Open,In progress,Resolved"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showGridLines="0" zoomScaleNormal="100" workbookViewId="0"/>
  </sheetViews>
  <sheetFormatPr baseColWidth="10" defaultColWidth="8.6640625" defaultRowHeight="15" x14ac:dyDescent="0.2"/>
  <cols>
    <col min="1" max="1" width="20" customWidth="1"/>
    <col min="2" max="2" width="12" customWidth="1"/>
  </cols>
  <sheetData>
    <row r="1" spans="1:2" ht="25.5" customHeight="1" x14ac:dyDescent="0.2">
      <c r="A1" s="1" t="s">
        <v>107</v>
      </c>
      <c r="B1" s="1"/>
    </row>
    <row r="2" spans="1:2" ht="21.75" customHeight="1" x14ac:dyDescent="0.2">
      <c r="A2" s="11" t="s">
        <v>108</v>
      </c>
      <c r="B2" s="16">
        <f>COUNTA(Feedback!A:A)-2</f>
        <v>43</v>
      </c>
    </row>
    <row r="3" spans="1:2" ht="21.75" customHeight="1" x14ac:dyDescent="0.2">
      <c r="A3" s="8" t="s">
        <v>11</v>
      </c>
      <c r="B3" s="17">
        <f>COUNTIF(Feedback!D:D,"Must fix")</f>
        <v>4</v>
      </c>
    </row>
    <row r="4" spans="1:2" ht="21.75" customHeight="1" x14ac:dyDescent="0.2">
      <c r="A4" s="11" t="s">
        <v>26</v>
      </c>
      <c r="B4" s="16">
        <f>COUNTIF(Feedback!D:D,"Fix")</f>
        <v>21</v>
      </c>
    </row>
    <row r="5" spans="1:2" ht="21.75" customHeight="1" x14ac:dyDescent="0.2">
      <c r="A5" s="8" t="s">
        <v>91</v>
      </c>
      <c r="B5" s="17">
        <f>COUNTIF(Feedback!D:D,"Terminology")</f>
        <v>6</v>
      </c>
    </row>
    <row r="6" spans="1:2" ht="21.75" customHeight="1" x14ac:dyDescent="0.2">
      <c r="A6" s="11" t="s">
        <v>46</v>
      </c>
      <c r="B6" s="16">
        <f>COUNTIF(Feedback!D:D,"Minor")</f>
        <v>4</v>
      </c>
    </row>
    <row r="7" spans="1:2" ht="21.75" customHeight="1" x14ac:dyDescent="0.2"/>
    <row r="8" spans="1:2" ht="21.75" customHeight="1" x14ac:dyDescent="0.2">
      <c r="A8" s="11" t="s">
        <v>12</v>
      </c>
      <c r="B8" s="16">
        <f>COUNTIF(Feedback!E:E,"Open")</f>
        <v>31</v>
      </c>
    </row>
    <row r="9" spans="1:2" ht="21.75" customHeight="1" x14ac:dyDescent="0.2">
      <c r="A9" s="8" t="s">
        <v>109</v>
      </c>
      <c r="B9" s="17">
        <f>COUNTIF(Feedback!E:E,"In progress")</f>
        <v>0</v>
      </c>
    </row>
    <row r="10" spans="1:2" ht="21.75" customHeight="1" x14ac:dyDescent="0.2">
      <c r="A10" s="11" t="s">
        <v>110</v>
      </c>
      <c r="B10" s="16">
        <f>COUNTIF(Feedback!E:E,"Resolved")</f>
        <v>4</v>
      </c>
    </row>
    <row r="11" spans="1:2" ht="21.75" customHeight="1" x14ac:dyDescent="0.2"/>
    <row r="12" spans="1:2" ht="21.75" customHeight="1" x14ac:dyDescent="0.2">
      <c r="A12" s="11" t="s">
        <v>111</v>
      </c>
      <c r="B12" s="16">
        <f>COUNTIF(Feedback!F:F,"1")</f>
        <v>17</v>
      </c>
    </row>
    <row r="13" spans="1:2" ht="21.75" customHeight="1" x14ac:dyDescent="0.2">
      <c r="A13" s="8" t="s">
        <v>112</v>
      </c>
      <c r="B13" s="17">
        <f>COUNTIF(Feedback!F:F,"2")</f>
        <v>17</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Ruvimbo Chiswo</cp:lastModifiedBy>
  <cp:revision>0</cp:revision>
  <dcterms:created xsi:type="dcterms:W3CDTF">2026-10-07T15:09:14Z</dcterms:created>
  <dcterms:modified xsi:type="dcterms:W3CDTF">2026-10-07T15:19:10Z</dcterms:modified>
  <dc:language>en-US</dc:language>
</cp:coreProperties>
</file>